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<sst xmlns="http://schemas.openxmlformats.org/spreadsheetml/2006/main" count="56" uniqueCount="51">
  <si>
    <t>Freelance calculator</t>
  </si>
  <si>
    <t>Input variabelen</t>
  </si>
  <si>
    <t>Resultaat</t>
  </si>
  <si>
    <t>Werkelijke uren/omzet</t>
  </si>
  <si>
    <t>uur prijs</t>
  </si>
  <si>
    <t>uren per week</t>
  </si>
  <si>
    <t>weken per jaar</t>
  </si>
  <si>
    <t>uren per jaar</t>
  </si>
  <si>
    <t>percentage onwerkbaar</t>
  </si>
  <si>
    <t xml:space="preserve">netto uren </t>
  </si>
  <si>
    <t>correctie korte termijn ziekte</t>
  </si>
  <si>
    <t>&lt;-kunnen we input maken tussen 0-10</t>
  </si>
  <si>
    <t>netto met correctie</t>
  </si>
  <si>
    <t>effectief werkbaar per maand</t>
  </si>
  <si>
    <t>effectieve omzet (facturabel)</t>
  </si>
  <si>
    <t>Kosten en marge</t>
  </si>
  <si>
    <t>Marge cn</t>
  </si>
  <si>
    <t>inkomen na marge</t>
  </si>
  <si>
    <t>Kosten freelance bv incl verzekeringen</t>
  </si>
  <si>
    <t>&lt;-- Alle bedrijfskosten ( kunnen we input maken) tussen 0 en 10</t>
  </si>
  <si>
    <t>Inkomen na marge en kosten</t>
  </si>
  <si>
    <t>Pensioen (uit deta calc)</t>
  </si>
  <si>
    <t>&lt;-- zelfde pensioen like for like</t>
  </si>
  <si>
    <t>inkomen na marge, kosten en pensioen</t>
  </si>
  <si>
    <t xml:space="preserve">&lt;-- Inkomen </t>
  </si>
  <si>
    <t>Belastingen</t>
  </si>
  <si>
    <t>Belastbaar inkomen (jaar)</t>
  </si>
  <si>
    <t>&lt;-- x12 maanden</t>
  </si>
  <si>
    <t>Aftrek posten</t>
  </si>
  <si>
    <t>Winst voor belasting</t>
  </si>
  <si>
    <t>Winst mkb vrijstelling</t>
  </si>
  <si>
    <t>belastibaar inkomen</t>
  </si>
  <si>
    <t>inomsten belasting</t>
  </si>
  <si>
    <t>(+)</t>
  </si>
  <si>
    <t>Bijdrage zorgverzekeringswet</t>
  </si>
  <si>
    <t>algemene heffingskorting</t>
  </si>
  <si>
    <t>(-) checken, voelt als hoog</t>
  </si>
  <si>
    <t>arbeidskorting</t>
  </si>
  <si>
    <t xml:space="preserve">belastingdruk </t>
  </si>
  <si>
    <t>(=)</t>
  </si>
  <si>
    <t>Netto per jaar</t>
  </si>
  <si>
    <t>Netto per maand</t>
  </si>
  <si>
    <t>Vergelijking</t>
  </si>
  <si>
    <t>Detachering</t>
  </si>
  <si>
    <t>netto</t>
  </si>
  <si>
    <t>uitgesteld</t>
  </si>
  <si>
    <t>pensioen</t>
  </si>
  <si>
    <t>totaal</t>
  </si>
  <si>
    <t>Freelance</t>
  </si>
  <si>
    <t>Netto</t>
  </si>
  <si>
    <t>Totaal factuur bedrag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</si>
</sst>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rgb="FFFF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4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4.13"/>
    <col customWidth="1" min="3" max="3" width="25.0"/>
    <col customWidth="1" min="4" max="4" width="5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1" t="s">
        <v>4</v>
      </c>
      <c r="B3" s="3">
        <v>100.0</v>
      </c>
    </row>
    <row r="4">
      <c r="A4" s="1" t="s">
        <v>5</v>
      </c>
      <c r="B4" s="1">
        <v>40.0</v>
      </c>
    </row>
    <row r="5">
      <c r="A5" s="1" t="s">
        <v>6</v>
      </c>
      <c r="B5" s="1">
        <v>52.0</v>
      </c>
    </row>
    <row r="6">
      <c r="A6" s="1" t="s">
        <v>7</v>
      </c>
      <c r="B6" s="4">
        <f>B4*B5</f>
        <v>2080</v>
      </c>
    </row>
    <row r="7">
      <c r="A7" s="1" t="s">
        <v>8</v>
      </c>
      <c r="B7" s="5">
        <v>0.14</v>
      </c>
      <c r="C7" s="4">
        <f>B6*B7</f>
        <v>291.2</v>
      </c>
    </row>
    <row r="8">
      <c r="A8" s="1" t="s">
        <v>9</v>
      </c>
      <c r="B8" s="4">
        <f>B6-C7</f>
        <v>1788.8</v>
      </c>
    </row>
    <row r="9">
      <c r="A9" s="1" t="s">
        <v>10</v>
      </c>
      <c r="B9" s="5">
        <v>0.06</v>
      </c>
      <c r="C9" s="4">
        <f>B9*B6</f>
        <v>124.8</v>
      </c>
      <c r="D9" s="1" t="s">
        <v>11</v>
      </c>
    </row>
    <row r="10">
      <c r="A10" s="1" t="s">
        <v>12</v>
      </c>
      <c r="B10" s="4">
        <f>B8-C9</f>
        <v>1664</v>
      </c>
    </row>
    <row r="11">
      <c r="A11" s="1" t="s">
        <v>13</v>
      </c>
      <c r="B11" s="4">
        <f>B10/12</f>
        <v>138.6666667</v>
      </c>
    </row>
    <row r="12">
      <c r="A12" s="1" t="s">
        <v>14</v>
      </c>
      <c r="B12" s="6">
        <f>B11*B3</f>
        <v>13866.66667</v>
      </c>
    </row>
    <row r="14">
      <c r="A14" s="2" t="s">
        <v>15</v>
      </c>
    </row>
    <row r="15">
      <c r="A15" s="1" t="s">
        <v>16</v>
      </c>
      <c r="B15" s="5">
        <v>0.05</v>
      </c>
      <c r="C15" s="6">
        <f>B15*B12</f>
        <v>693.3333333</v>
      </c>
    </row>
    <row r="16">
      <c r="A16" s="7" t="s">
        <v>17</v>
      </c>
      <c r="B16" s="6">
        <f>B12-C15</f>
        <v>13173.33333</v>
      </c>
    </row>
    <row r="17">
      <c r="A17" s="1" t="s">
        <v>18</v>
      </c>
      <c r="B17" s="5">
        <v>0.1</v>
      </c>
      <c r="C17" s="8">
        <f>B17*B12</f>
        <v>1386.666667</v>
      </c>
      <c r="D17" s="1" t="s">
        <v>19</v>
      </c>
    </row>
    <row r="18">
      <c r="A18" s="7" t="s">
        <v>20</v>
      </c>
      <c r="B18" s="6">
        <f>B16-C17</f>
        <v>11786.66667</v>
      </c>
    </row>
    <row r="19">
      <c r="A19" s="1" t="s">
        <v>21</v>
      </c>
      <c r="B19" s="8">
        <v>1369.0</v>
      </c>
      <c r="D19" s="1" t="s">
        <v>22</v>
      </c>
    </row>
    <row r="20">
      <c r="A20" s="7" t="s">
        <v>23</v>
      </c>
      <c r="B20" s="6">
        <f>B18-B19</f>
        <v>10417.66667</v>
      </c>
      <c r="D20" s="1" t="s">
        <v>24</v>
      </c>
    </row>
    <row r="22">
      <c r="A22" s="2" t="s">
        <v>25</v>
      </c>
    </row>
    <row r="23">
      <c r="A23" s="1" t="s">
        <v>26</v>
      </c>
      <c r="B23" s="6">
        <f>B16*12</f>
        <v>158080</v>
      </c>
      <c r="D23" s="1" t="s">
        <v>27</v>
      </c>
    </row>
    <row r="24">
      <c r="A24" s="1" t="s">
        <v>28</v>
      </c>
      <c r="B24" s="6">
        <f>(B19+C17)*12</f>
        <v>33068</v>
      </c>
    </row>
    <row r="25">
      <c r="A25" s="1" t="s">
        <v>29</v>
      </c>
      <c r="B25" s="6">
        <f>B23-B24</f>
        <v>125012</v>
      </c>
    </row>
    <row r="26">
      <c r="A26" s="1" t="s">
        <v>30</v>
      </c>
      <c r="B26" s="5">
        <v>0.1331</v>
      </c>
      <c r="C26" s="6">
        <f>B25*B26</f>
        <v>16639.0972</v>
      </c>
    </row>
    <row r="27">
      <c r="A27" s="1" t="s">
        <v>31</v>
      </c>
      <c r="B27" s="6">
        <f>B25-C26</f>
        <v>108372.9028</v>
      </c>
    </row>
    <row r="28">
      <c r="A28" s="1" t="s">
        <v>32</v>
      </c>
      <c r="B28" s="6">
        <f>IF(B27&lt;=75518, B27*0.3697, (75518*0.3697) + ((B27-75518)*0.495))</f>
        <v>44182.18149</v>
      </c>
      <c r="D28" s="1" t="s">
        <v>33</v>
      </c>
    </row>
    <row r="29">
      <c r="A29" s="1" t="s">
        <v>34</v>
      </c>
      <c r="B29" s="6">
        <f>MIN(B27, 75518) * 0.0532</f>
        <v>4017.5576</v>
      </c>
      <c r="D29" s="1" t="s">
        <v>33</v>
      </c>
    </row>
    <row r="30">
      <c r="A30" s="1" t="s">
        <v>35</v>
      </c>
      <c r="B30" s="6">
        <f>IF(B27&lt;=24813,3070,IF(B27&gt;=76817,0,3070-(B27-24813)*0.06095))</f>
        <v>0</v>
      </c>
      <c r="D30" s="1" t="s">
        <v>36</v>
      </c>
    </row>
    <row r="31">
      <c r="A31" s="1" t="s">
        <v>37</v>
      </c>
      <c r="B31" s="6">
        <f>IF(B27&lt;=11413,B27*0.08231,IF(B27&lt;=39957,939+((B27-11413)*0.29861),IF(B27&lt;=124935,5532-((B27-39957)*0.0651),0)))</f>
        <v>1078.124728</v>
      </c>
      <c r="D31" s="1"/>
    </row>
    <row r="32">
      <c r="A32" s="1" t="s">
        <v>38</v>
      </c>
      <c r="B32" s="6">
        <f>B28+B29-B30-B31</f>
        <v>47121.61436</v>
      </c>
      <c r="D32" s="1" t="s">
        <v>39</v>
      </c>
    </row>
    <row r="34">
      <c r="A34" s="1" t="s">
        <v>40</v>
      </c>
      <c r="B34" s="6">
        <f>B27-B32</f>
        <v>61251.28844</v>
      </c>
    </row>
    <row r="35">
      <c r="A35" s="1" t="s">
        <v>41</v>
      </c>
      <c r="B35" s="6">
        <f>B34/12</f>
        <v>5104.274037</v>
      </c>
    </row>
    <row r="37">
      <c r="A37" s="1" t="s">
        <v>42</v>
      </c>
    </row>
    <row r="38">
      <c r="A38" s="2" t="s">
        <v>43</v>
      </c>
    </row>
    <row r="39">
      <c r="A39" s="1" t="s">
        <v>44</v>
      </c>
      <c r="B39" s="3">
        <v>4509.0</v>
      </c>
    </row>
    <row r="40">
      <c r="A40" s="1" t="s">
        <v>45</v>
      </c>
      <c r="B40" s="3">
        <v>1558.0</v>
      </c>
    </row>
    <row r="41">
      <c r="A41" s="1" t="s">
        <v>46</v>
      </c>
      <c r="B41" s="6">
        <f>B19</f>
        <v>1369</v>
      </c>
    </row>
    <row r="42">
      <c r="A42" s="1" t="s">
        <v>47</v>
      </c>
      <c r="B42" s="6">
        <f>SUM(B39:B41)</f>
        <v>7436</v>
      </c>
    </row>
    <row r="44">
      <c r="A44" s="2" t="s">
        <v>48</v>
      </c>
    </row>
    <row r="45">
      <c r="A45" s="1" t="s">
        <v>49</v>
      </c>
      <c r="B45" s="6">
        <f>B35</f>
        <v>5104.274037</v>
      </c>
    </row>
    <row r="46">
      <c r="A46" s="1" t="s">
        <v>46</v>
      </c>
      <c r="B46" s="6">
        <f>B19</f>
        <v>1369</v>
      </c>
    </row>
    <row r="47">
      <c r="A47" s="1" t="s">
        <v>47</v>
      </c>
      <c r="B47" s="6">
        <f>B45+B46</f>
        <v>6473.274037</v>
      </c>
    </row>
    <row r="50">
      <c r="A50" s="7"/>
      <c r="B50" s="9"/>
    </row>
    <row r="63">
      <c r="B63" s="1" t="s">
        <v>43</v>
      </c>
      <c r="C63" s="1" t="s">
        <v>48</v>
      </c>
    </row>
    <row r="64">
      <c r="A64" s="1" t="s">
        <v>50</v>
      </c>
      <c r="B64" s="6">
        <f>B6*B3/12</f>
        <v>17333.33333</v>
      </c>
      <c r="C64" s="6">
        <f>B12</f>
        <v>13866.66667</v>
      </c>
      <c r="D64" s="6">
        <f>B64-C64</f>
        <v>3466.666667</v>
      </c>
    </row>
    <row r="65">
      <c r="A65" s="9"/>
    </row>
  </sheetData>
  <drawing r:id="rId1"/>
</worksheet>
</file>