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rsenaalpersoneelsdiensten.sharepoint.com/sites/ArsenaalOps/Gedeelde documenten/General/KOSTPRIJZEN/B. KP MODEL 2026/"/>
    </mc:Choice>
  </mc:AlternateContent>
  <xr:revisionPtr revIDLastSave="113" documentId="8_{BEC01CA1-6429-47E1-B0C4-EEB812360150}" xr6:coauthVersionLast="47" xr6:coauthVersionMax="47" xr10:uidLastSave="{ED7B7CAF-8A68-47C7-BEB0-B26EAC64C016}"/>
  <bookViews>
    <workbookView xWindow="-120" yWindow="-120" windowWidth="29040" windowHeight="15840" activeTab="1" xr2:uid="{00000000-000D-0000-FFFF-FFFF00000000}"/>
  </bookViews>
  <sheets>
    <sheet name="stamgegevens" sheetId="2" r:id="rId1"/>
    <sheet name="kostprijzen" sheetId="32" r:id="rId2"/>
  </sheets>
  <definedNames>
    <definedName name="_xlnm.Print_Area" localSheetId="0">stamgegevens!#REF!</definedName>
    <definedName name="_xlnm.Print_Titles" localSheetId="1">kostprijzen!$A:$A</definedName>
    <definedName name="_xlnm.Print_Titles" localSheetId="0">stamgegevens!$A:$A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32" l="1"/>
  <c r="Q21" i="32"/>
  <c r="K21" i="32"/>
  <c r="H21" i="32"/>
  <c r="E21" i="32"/>
  <c r="B21" i="32"/>
  <c r="Q19" i="32"/>
  <c r="H19" i="32"/>
  <c r="E19" i="32"/>
  <c r="N8" i="32"/>
  <c r="C31" i="2"/>
  <c r="D31" i="2" s="1"/>
  <c r="C29" i="2"/>
  <c r="C28" i="2"/>
  <c r="E8" i="32"/>
  <c r="E7" i="32"/>
  <c r="B8" i="32"/>
  <c r="R14" i="32" l="1"/>
  <c r="O14" i="32"/>
  <c r="L14" i="32"/>
  <c r="I14" i="32"/>
  <c r="F14" i="32"/>
  <c r="C14" i="32"/>
  <c r="B32" i="32" s="1"/>
  <c r="Q32" i="32" l="1"/>
  <c r="N32" i="32"/>
  <c r="K32" i="32"/>
  <c r="H32" i="32"/>
  <c r="E32" i="32"/>
  <c r="B78" i="2"/>
  <c r="C76" i="2" s="1"/>
  <c r="C65" i="2" l="1"/>
  <c r="B70" i="32"/>
  <c r="E70" i="32"/>
  <c r="A29" i="2" l="1"/>
  <c r="D17" i="2"/>
  <c r="I18" i="2" s="1"/>
  <c r="B17" i="2"/>
  <c r="J18" i="2" s="1"/>
  <c r="C17" i="2"/>
  <c r="H18" i="2" s="1"/>
  <c r="K2" i="32" l="1"/>
  <c r="Q2" i="32"/>
  <c r="K18" i="2"/>
  <c r="E2" i="32"/>
  <c r="H2" i="32"/>
  <c r="B2" i="32"/>
  <c r="N2" i="32"/>
  <c r="G18" i="2"/>
  <c r="L18" i="2"/>
  <c r="Q70" i="32"/>
  <c r="N70" i="32"/>
  <c r="K70" i="32"/>
  <c r="H70" i="32"/>
  <c r="B7" i="32"/>
  <c r="Q62" i="32"/>
  <c r="Q61" i="32"/>
  <c r="Q60" i="32"/>
  <c r="Q58" i="32"/>
  <c r="Q57" i="32"/>
  <c r="Q53" i="32"/>
  <c r="Q52" i="32"/>
  <c r="N62" i="32"/>
  <c r="N61" i="32"/>
  <c r="N60" i="32"/>
  <c r="N58" i="32"/>
  <c r="N57" i="32"/>
  <c r="N53" i="32"/>
  <c r="N52" i="32"/>
  <c r="K62" i="32"/>
  <c r="K61" i="32"/>
  <c r="K60" i="32"/>
  <c r="K58" i="32"/>
  <c r="K57" i="32"/>
  <c r="K56" i="32"/>
  <c r="K53" i="32"/>
  <c r="K52" i="32"/>
  <c r="Q38" i="32"/>
  <c r="K38" i="32"/>
  <c r="Q71" i="32"/>
  <c r="N71" i="32"/>
  <c r="K71" i="32"/>
  <c r="Q45" i="32"/>
  <c r="N45" i="32"/>
  <c r="K45" i="32"/>
  <c r="Q44" i="32"/>
  <c r="N44" i="32"/>
  <c r="K44" i="32"/>
  <c r="Q43" i="32"/>
  <c r="N43" i="32"/>
  <c r="K43" i="32"/>
  <c r="Q42" i="32"/>
  <c r="N42" i="32"/>
  <c r="K42" i="32"/>
  <c r="Q39" i="32"/>
  <c r="N39" i="32"/>
  <c r="K39" i="32"/>
  <c r="Q35" i="32"/>
  <c r="N35" i="32"/>
  <c r="K35" i="32"/>
  <c r="Q26" i="32"/>
  <c r="Q29" i="32" s="1"/>
  <c r="N26" i="32"/>
  <c r="N29" i="32" s="1"/>
  <c r="K26" i="32"/>
  <c r="K29" i="32" s="1"/>
  <c r="Q8" i="32"/>
  <c r="K8" i="32"/>
  <c r="Q7" i="32"/>
  <c r="N7" i="32"/>
  <c r="K7" i="32"/>
  <c r="Q6" i="32"/>
  <c r="N6" i="32"/>
  <c r="K6" i="32"/>
  <c r="H62" i="32"/>
  <c r="H61" i="32"/>
  <c r="H60" i="32"/>
  <c r="H58" i="32"/>
  <c r="H57" i="32"/>
  <c r="H53" i="32"/>
  <c r="H52" i="32"/>
  <c r="E62" i="32"/>
  <c r="E61" i="32"/>
  <c r="E60" i="32"/>
  <c r="E58" i="32"/>
  <c r="E57" i="32"/>
  <c r="E53" i="32"/>
  <c r="E52" i="32"/>
  <c r="E45" i="32"/>
  <c r="E44" i="32"/>
  <c r="E43" i="32"/>
  <c r="E42" i="32"/>
  <c r="E39" i="32"/>
  <c r="H71" i="32"/>
  <c r="H72" i="32" s="1"/>
  <c r="H73" i="32" s="1"/>
  <c r="H74" i="32" s="1"/>
  <c r="H48" i="32" s="1"/>
  <c r="H49" i="32" s="1"/>
  <c r="H45" i="32"/>
  <c r="H44" i="32"/>
  <c r="H43" i="32"/>
  <c r="H42" i="32"/>
  <c r="H39" i="32"/>
  <c r="H38" i="32"/>
  <c r="H35" i="32"/>
  <c r="H26" i="32"/>
  <c r="H29" i="32" s="1"/>
  <c r="H8" i="32"/>
  <c r="H7" i="32"/>
  <c r="H6" i="32"/>
  <c r="E71" i="32"/>
  <c r="E72" i="32" s="1"/>
  <c r="E73" i="32" s="1"/>
  <c r="E74" i="32" s="1"/>
  <c r="E48" i="32" s="1"/>
  <c r="E49" i="32" s="1"/>
  <c r="E35" i="32"/>
  <c r="E26" i="32"/>
  <c r="E29" i="32" s="1"/>
  <c r="E6" i="32"/>
  <c r="E10" i="32" s="1"/>
  <c r="F9" i="32" s="1"/>
  <c r="E41" i="32"/>
  <c r="Q40" i="32"/>
  <c r="B28" i="2"/>
  <c r="B62" i="32"/>
  <c r="B61" i="32"/>
  <c r="B60" i="32"/>
  <c r="B58" i="32"/>
  <c r="B57" i="32"/>
  <c r="B52" i="32"/>
  <c r="B71" i="32"/>
  <c r="B45" i="32"/>
  <c r="B44" i="32"/>
  <c r="B43" i="32"/>
  <c r="B42" i="32"/>
  <c r="B39" i="32"/>
  <c r="B38" i="32"/>
  <c r="A53" i="32"/>
  <c r="A54" i="32"/>
  <c r="A55" i="32"/>
  <c r="A56" i="32"/>
  <c r="A57" i="32"/>
  <c r="A58" i="32"/>
  <c r="A62" i="32"/>
  <c r="A52" i="32"/>
  <c r="B35" i="32"/>
  <c r="Q10" i="32" l="1"/>
  <c r="R9" i="32" s="1"/>
  <c r="H10" i="32"/>
  <c r="I9" i="32" s="1"/>
  <c r="K10" i="32"/>
  <c r="L9" i="32" s="1"/>
  <c r="Q72" i="32"/>
  <c r="Q73" i="32" s="1"/>
  <c r="Q74" i="32" s="1"/>
  <c r="Q48" i="32" s="1"/>
  <c r="Q49" i="32" s="1"/>
  <c r="N72" i="32"/>
  <c r="N73" i="32" s="1"/>
  <c r="N74" i="32" s="1"/>
  <c r="N48" i="32" s="1"/>
  <c r="N49" i="32" s="1"/>
  <c r="K72" i="32"/>
  <c r="K73" i="32" s="1"/>
  <c r="K74" i="32" s="1"/>
  <c r="K48" i="32" s="1"/>
  <c r="K49" i="32" s="1"/>
  <c r="B72" i="32"/>
  <c r="Q63" i="32"/>
  <c r="E40" i="32"/>
  <c r="E46" i="32" s="1"/>
  <c r="K40" i="32"/>
  <c r="N41" i="32"/>
  <c r="H41" i="32"/>
  <c r="K41" i="32"/>
  <c r="Q41" i="32"/>
  <c r="Q46" i="32" s="1"/>
  <c r="N40" i="32"/>
  <c r="H40" i="32"/>
  <c r="B46" i="2"/>
  <c r="I8" i="32"/>
  <c r="N63" i="32"/>
  <c r="K63" i="32"/>
  <c r="H63" i="32"/>
  <c r="E63" i="32"/>
  <c r="B26" i="32"/>
  <c r="B29" i="32" s="1"/>
  <c r="B6" i="32"/>
  <c r="B10" i="32" s="1"/>
  <c r="C9" i="32" s="1"/>
  <c r="A1" i="32"/>
  <c r="L8" i="32" l="1"/>
  <c r="K19" i="32" s="1"/>
  <c r="O8" i="32"/>
  <c r="N19" i="32" s="1"/>
  <c r="O9" i="32"/>
  <c r="N21" i="32" s="1"/>
  <c r="C8" i="32"/>
  <c r="C7" i="32"/>
  <c r="L7" i="32"/>
  <c r="K20" i="32" s="1"/>
  <c r="K23" i="32" s="1"/>
  <c r="L23" i="32" s="1"/>
  <c r="L24" i="32" s="1"/>
  <c r="L29" i="32" s="1"/>
  <c r="L30" i="32" s="1"/>
  <c r="L35" i="32" s="1"/>
  <c r="F7" i="32"/>
  <c r="O7" i="32"/>
  <c r="N20" i="32" s="1"/>
  <c r="F8" i="32"/>
  <c r="N46" i="32"/>
  <c r="B45" i="2"/>
  <c r="R8" i="32"/>
  <c r="R7" i="32"/>
  <c r="Q20" i="32" s="1"/>
  <c r="Q23" i="32" s="1"/>
  <c r="R23" i="32" s="1"/>
  <c r="R24" i="32" s="1"/>
  <c r="R29" i="32" s="1"/>
  <c r="R30" i="32" s="1"/>
  <c r="R35" i="32" s="1"/>
  <c r="K46" i="32"/>
  <c r="I7" i="32"/>
  <c r="H20" i="32" s="1"/>
  <c r="H46" i="32"/>
  <c r="E23" i="32" l="1"/>
  <c r="F23" i="32" s="1"/>
  <c r="F24" i="32" s="1"/>
  <c r="F29" i="32" s="1"/>
  <c r="F30" i="32" s="1"/>
  <c r="F35" i="32" s="1"/>
  <c r="E20" i="32"/>
  <c r="N23" i="32"/>
  <c r="O23" i="32" s="1"/>
  <c r="O24" i="32" s="1"/>
  <c r="O29" i="32" s="1"/>
  <c r="O30" i="32" s="1"/>
  <c r="O35" i="32" s="1"/>
  <c r="H23" i="32"/>
  <c r="I23" i="32" s="1"/>
  <c r="I24" i="32" s="1"/>
  <c r="I29" i="32" s="1"/>
  <c r="I30" i="32" s="1"/>
  <c r="R36" i="32"/>
  <c r="R46" i="32" s="1"/>
  <c r="R47" i="32" s="1"/>
  <c r="R49" i="32"/>
  <c r="R63" i="32"/>
  <c r="L36" i="32"/>
  <c r="L63" i="32"/>
  <c r="L49" i="32"/>
  <c r="B20" i="32"/>
  <c r="B19" i="32"/>
  <c r="F36" i="32" l="1"/>
  <c r="F46" i="32" s="1"/>
  <c r="F47" i="32" s="1"/>
  <c r="F63" i="32"/>
  <c r="F49" i="32"/>
  <c r="O36" i="32"/>
  <c r="O49" i="32"/>
  <c r="O63" i="32"/>
  <c r="I49" i="32"/>
  <c r="I35" i="32"/>
  <c r="I36" i="32" s="1"/>
  <c r="I46" i="32" s="1"/>
  <c r="I47" i="32" s="1"/>
  <c r="I50" i="32" s="1"/>
  <c r="I63" i="32"/>
  <c r="R50" i="32"/>
  <c r="R64" i="32" s="1"/>
  <c r="R66" i="32" s="1"/>
  <c r="O46" i="32"/>
  <c r="O47" i="32" s="1"/>
  <c r="L46" i="32"/>
  <c r="L47" i="32" s="1"/>
  <c r="L50" i="32" s="1"/>
  <c r="L64" i="32" s="1"/>
  <c r="L66" i="32" s="1"/>
  <c r="D32" i="2"/>
  <c r="F50" i="32" l="1"/>
  <c r="F64" i="32"/>
  <c r="F66" i="32" s="1"/>
  <c r="O50" i="32"/>
  <c r="O64" i="32" s="1"/>
  <c r="O66" i="32" s="1"/>
  <c r="I64" i="32"/>
  <c r="I66" i="32" s="1"/>
  <c r="B41" i="32"/>
  <c r="B40" i="32" l="1"/>
  <c r="B53" i="32"/>
  <c r="B56" i="32"/>
  <c r="B63" i="32" l="1"/>
  <c r="K30" i="2"/>
  <c r="L30" i="2"/>
  <c r="J30" i="2"/>
  <c r="B23" i="32" l="1"/>
  <c r="C23" i="32" s="1"/>
  <c r="C24" i="32" s="1"/>
  <c r="C29" i="32" s="1"/>
  <c r="A41" i="32" l="1"/>
  <c r="C30" i="32"/>
  <c r="J37" i="2"/>
  <c r="B73" i="32"/>
  <c r="B74" i="32" s="1"/>
  <c r="B48" i="32" s="1"/>
  <c r="C35" i="32" l="1"/>
  <c r="C36" i="32" s="1"/>
  <c r="D19" i="2"/>
  <c r="C19" i="2"/>
  <c r="B19" i="2"/>
  <c r="B18" i="2"/>
  <c r="B49" i="32"/>
  <c r="C49" i="32" s="1"/>
  <c r="B44" i="2"/>
  <c r="C63" i="32"/>
  <c r="B46" i="32"/>
  <c r="D33" i="2"/>
  <c r="G30" i="2"/>
  <c r="I30" i="2"/>
  <c r="H30" i="2"/>
  <c r="D29" i="2"/>
  <c r="D30" i="2"/>
  <c r="D26" i="2"/>
  <c r="D27" i="2"/>
  <c r="D37" i="2"/>
  <c r="D28" i="2"/>
  <c r="D25" i="2"/>
  <c r="C46" i="32" l="1"/>
  <c r="C47" i="32" s="1"/>
  <c r="C50" i="32" s="1"/>
  <c r="C64" i="32" s="1"/>
  <c r="C66" i="32" s="1"/>
</calcChain>
</file>

<file path=xl/sharedStrings.xml><?xml version="1.0" encoding="utf-8"?>
<sst xmlns="http://schemas.openxmlformats.org/spreadsheetml/2006/main" count="141" uniqueCount="109">
  <si>
    <t>Vakantiedagen</t>
  </si>
  <si>
    <t>Feestdagen</t>
  </si>
  <si>
    <t>Vakantiegeld</t>
  </si>
  <si>
    <t>Aanvullende ziektewet (AZV)</t>
  </si>
  <si>
    <t>werknemer</t>
  </si>
  <si>
    <t>werkgever</t>
  </si>
  <si>
    <t>Aanvullende ziektewet (AZV) administratief</t>
  </si>
  <si>
    <t>Aanvullende ziektewet (AZV) technisch</t>
  </si>
  <si>
    <t>totaal</t>
  </si>
  <si>
    <t>Zorgverzekeringswet (ZVW)</t>
  </si>
  <si>
    <t xml:space="preserve">WW (Awf) </t>
  </si>
  <si>
    <t>WAO/WIA basispremie (Aof) kleine werkgever</t>
  </si>
  <si>
    <t>WAO/WIA basispremie (Aof) grote werkgever</t>
  </si>
  <si>
    <t>PAWW</t>
  </si>
  <si>
    <t>Pensioenen</t>
  </si>
  <si>
    <t>Franchise</t>
  </si>
  <si>
    <t>Sociale verzekeringen</t>
  </si>
  <si>
    <t>Voorzieningen (opslagen)</t>
  </si>
  <si>
    <t>Duurzame inzetbaarheid</t>
  </si>
  <si>
    <t>Sociaal Fonds</t>
  </si>
  <si>
    <t>Arbeidsongeschiktheid</t>
  </si>
  <si>
    <t>Contractverplichting/leegloop</t>
  </si>
  <si>
    <t>Reservering KV/FD contracten</t>
  </si>
  <si>
    <t>Transitievergoeding</t>
  </si>
  <si>
    <t>Organisatiekosten</t>
  </si>
  <si>
    <t>Vakantiedagen vakantiewerk</t>
  </si>
  <si>
    <t>Vakantiedagen regulier</t>
  </si>
  <si>
    <t>Administratiecode</t>
  </si>
  <si>
    <t>Naam bedrijf</t>
  </si>
  <si>
    <t>CAO</t>
  </si>
  <si>
    <t>Loonjaar</t>
  </si>
  <si>
    <t>Stamgegevens</t>
  </si>
  <si>
    <t>Grote/kleine werkgever</t>
  </si>
  <si>
    <t xml:space="preserve">WAO/WIA basispremie (Aof) </t>
  </si>
  <si>
    <t xml:space="preserve">Administratief </t>
  </si>
  <si>
    <t>Basis</t>
  </si>
  <si>
    <t>Totaal</t>
  </si>
  <si>
    <t xml:space="preserve">Vakantiedagen </t>
  </si>
  <si>
    <t>ATV</t>
  </si>
  <si>
    <t>Extra reservering</t>
  </si>
  <si>
    <t xml:space="preserve">Gedifferentieerde premie WhK (WGA) </t>
  </si>
  <si>
    <t>Gemiddeld uurloon</t>
  </si>
  <si>
    <t>Pensioengrondslag</t>
  </si>
  <si>
    <t>Premie</t>
  </si>
  <si>
    <t>Kostprijspercentage</t>
  </si>
  <si>
    <t>Opslagen</t>
  </si>
  <si>
    <t>Kostprijsfactor</t>
  </si>
  <si>
    <t>Bruto werkbare dagen</t>
  </si>
  <si>
    <t xml:space="preserve">Feestdagen </t>
  </si>
  <si>
    <t>Netto werkbare dagen</t>
  </si>
  <si>
    <t>Berekening pensioen</t>
  </si>
  <si>
    <t>ATV-dagen</t>
  </si>
  <si>
    <t>Sector</t>
  </si>
  <si>
    <t>-</t>
  </si>
  <si>
    <t>administratief</t>
  </si>
  <si>
    <t>WGA grote werkgever</t>
  </si>
  <si>
    <t>ZW-Flex grote werkgever</t>
  </si>
  <si>
    <t>Wko (wet kinderopvang)</t>
  </si>
  <si>
    <t>Wko</t>
  </si>
  <si>
    <t>Standaard werkbare dagen</t>
  </si>
  <si>
    <t>Overige opslagen 1</t>
  </si>
  <si>
    <t>Overige opslagen 2</t>
  </si>
  <si>
    <t>Overige opslagen 3</t>
  </si>
  <si>
    <t>Overige opslagen 4</t>
  </si>
  <si>
    <t>Reserveringen I</t>
  </si>
  <si>
    <t>CAO-reserveringen</t>
  </si>
  <si>
    <t xml:space="preserve">Opslag sociale lasten </t>
  </si>
  <si>
    <t>Administratief met beding</t>
  </si>
  <si>
    <t>Technisch/industrieel met beding</t>
  </si>
  <si>
    <t>Zonder beding alle fasen</t>
  </si>
  <si>
    <t>WGA kleine werkgever</t>
  </si>
  <si>
    <t>ZW-Flex kleine werkgever</t>
  </si>
  <si>
    <t>Techn./Industrieel</t>
  </si>
  <si>
    <t>techn./industrieel</t>
  </si>
  <si>
    <t>Reserveringen II</t>
  </si>
  <si>
    <t>Standaard reserveringen</t>
  </si>
  <si>
    <t>Berekening reserveringen</t>
  </si>
  <si>
    <t>Eigen risicodrager ZW-Flex</t>
  </si>
  <si>
    <t>nee</t>
  </si>
  <si>
    <t>Ondertekening voor akkoord loonvariabelen en kostprijsopbouw</t>
  </si>
  <si>
    <t>Naam contactpersoon:</t>
  </si>
  <si>
    <t xml:space="preserve">Datum: </t>
  </si>
  <si>
    <t>Handtekening:</t>
  </si>
  <si>
    <t>Gemiddeld uurloon voor berekening kostprijs</t>
  </si>
  <si>
    <t>Stipp-pensioen *</t>
  </si>
  <si>
    <t>* 2026: Premiepercentages: 15,90 WG / 7,50 WN</t>
  </si>
  <si>
    <t>Pensioenpremie</t>
  </si>
  <si>
    <t xml:space="preserve">Werkbare dagen </t>
  </si>
  <si>
    <t>Vrije dagen</t>
  </si>
  <si>
    <t>Nieuwjaarsdag</t>
  </si>
  <si>
    <t>Koningsdag</t>
  </si>
  <si>
    <t>2e Pinksterdag</t>
  </si>
  <si>
    <t>Hemelvaartsdag</t>
  </si>
  <si>
    <t>1e Kerstdag</t>
  </si>
  <si>
    <t>2e Paasdag</t>
  </si>
  <si>
    <t>Compensatiefactor pensioen</t>
  </si>
  <si>
    <t>Percentage pensioenregeling werkgever</t>
  </si>
  <si>
    <t>Percentage compensatie pensioenregeling</t>
  </si>
  <si>
    <t>Compensatie pensioenregeling</t>
  </si>
  <si>
    <t xml:space="preserve">Vakantiegeld </t>
  </si>
  <si>
    <t>Klein</t>
  </si>
  <si>
    <t>0000</t>
  </si>
  <si>
    <t>CREATENEW  WORK</t>
  </si>
  <si>
    <t>VUL IN</t>
  </si>
  <si>
    <t>IKB</t>
  </si>
  <si>
    <t>Eindjeaarsuitkering</t>
  </si>
  <si>
    <t>Tegemoetkoming Zorgverzekering</t>
  </si>
  <si>
    <t>Opleidingsbudget</t>
  </si>
  <si>
    <t>Overigen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</si>
</sst>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"/>
    <numFmt numFmtId="166" formatCode="#,##0.000"/>
    <numFmt numFmtId="167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4" fontId="0" fillId="0" borderId="0" xfId="0" applyNumberFormat="1"/>
    <xf numFmtId="4" fontId="0" fillId="0" borderId="1" xfId="0" applyNumberFormat="1" applyBorder="1"/>
    <xf numFmtId="0" fontId="0" fillId="0" borderId="1" xfId="0" applyBorder="1"/>
    <xf numFmtId="2" fontId="0" fillId="0" borderId="0" xfId="0" applyNumberFormat="1"/>
    <xf numFmtId="164" fontId="0" fillId="0" borderId="0" xfId="0" applyNumberForma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2" xfId="0" applyFill="1" applyBorder="1"/>
    <xf numFmtId="0" fontId="2" fillId="2" borderId="2" xfId="0" applyFont="1" applyFill="1" applyBorder="1"/>
    <xf numFmtId="2" fontId="0" fillId="0" borderId="1" xfId="0" applyNumberFormat="1" applyBorder="1"/>
    <xf numFmtId="0" fontId="2" fillId="0" borderId="0" xfId="0" applyFont="1" applyAlignment="1">
      <alignment horizontal="left"/>
    </xf>
    <xf numFmtId="10" fontId="0" fillId="0" borderId="0" xfId="1" applyNumberFormat="1" applyFont="1"/>
    <xf numFmtId="164" fontId="0" fillId="0" borderId="1" xfId="0" applyNumberFormat="1" applyBorder="1"/>
    <xf numFmtId="4" fontId="2" fillId="2" borderId="1" xfId="0" applyNumberFormat="1" applyFont="1" applyFill="1" applyBorder="1" applyAlignment="1">
      <alignment horizontal="center"/>
    </xf>
    <xf numFmtId="165" fontId="0" fillId="0" borderId="3" xfId="0" applyNumberFormat="1" applyBorder="1"/>
    <xf numFmtId="4" fontId="0" fillId="0" borderId="4" xfId="0" applyNumberFormat="1" applyBorder="1"/>
    <xf numFmtId="166" fontId="0" fillId="0" borderId="0" xfId="0" applyNumberFormat="1"/>
    <xf numFmtId="166" fontId="0" fillId="0" borderId="1" xfId="0" applyNumberFormat="1" applyBorder="1"/>
    <xf numFmtId="0" fontId="2" fillId="2" borderId="0" xfId="0" applyFont="1" applyFill="1"/>
    <xf numFmtId="4" fontId="2" fillId="2" borderId="0" xfId="0" applyNumberFormat="1" applyFont="1" applyFill="1" applyAlignment="1">
      <alignment horizontal="center"/>
    </xf>
    <xf numFmtId="4" fontId="0" fillId="0" borderId="0" xfId="0" applyNumberFormat="1" applyAlignment="1">
      <alignment horizontal="left"/>
    </xf>
    <xf numFmtId="4" fontId="0" fillId="0" borderId="0" xfId="1" applyNumberFormat="1" applyFont="1"/>
    <xf numFmtId="0" fontId="2" fillId="0" borderId="0" xfId="0" quotePrefix="1" applyFo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0" xfId="0" quotePrefix="1" applyNumberFormat="1" applyFont="1" applyAlignment="1">
      <alignment horizontal="left"/>
    </xf>
    <xf numFmtId="14" fontId="0" fillId="0" borderId="0" xfId="0" applyNumberFormat="1"/>
    <xf numFmtId="3" fontId="0" fillId="0" borderId="0" xfId="0" applyNumberFormat="1"/>
    <xf numFmtId="3" fontId="0" fillId="0" borderId="0" xfId="0" quotePrefix="1" applyNumberFormat="1" applyAlignment="1">
      <alignment horizontal="right"/>
    </xf>
    <xf numFmtId="167" fontId="0" fillId="0" borderId="0" xfId="0" applyNumberFormat="1"/>
    <xf numFmtId="0" fontId="0" fillId="3" borderId="0" xfId="0" quotePrefix="1" applyFill="1"/>
    <xf numFmtId="10" fontId="0" fillId="0" borderId="0" xfId="1" applyNumberFormat="1" applyFont="1" applyBorder="1"/>
    <xf numFmtId="4" fontId="0" fillId="3" borderId="0" xfId="0" applyNumberFormat="1" applyFill="1"/>
    <xf numFmtId="49" fontId="0" fillId="3" borderId="0" xfId="0" quotePrefix="1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1" xfId="0" applyFill="1" applyBorder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</cellXfs>
  <cellStyles count="2">
    <cellStyle name="Procent" xfId="1" builtinId="5"/>
    <cellStyle name="Standa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workbookViewId="0">
      <pane xSplit="1" topLeftCell="B1" activePane="topRight" state="frozen"/>
      <selection pane="topRight" activeCell="B5" sqref="B5"/>
    </sheetView>
  </sheetViews>
  <sheetFormatPr defaultColWidth="8.85546875" defaultRowHeight="15" x14ac:dyDescent="0.25"/>
  <cols>
    <col min="1" max="1" width="42.42578125" customWidth="1"/>
    <col min="2" max="4" width="17.7109375" customWidth="1"/>
    <col min="5" max="5" width="6.7109375" customWidth="1"/>
    <col min="6" max="6" width="28.28515625" bestFit="1" customWidth="1"/>
    <col min="7" max="12" width="16.7109375" customWidth="1"/>
    <col min="13" max="41" width="13.85546875" customWidth="1"/>
  </cols>
  <sheetData>
    <row r="1" spans="1:12" x14ac:dyDescent="0.25">
      <c r="A1" s="11" t="s">
        <v>31</v>
      </c>
      <c r="B1" s="10"/>
      <c r="C1" s="10"/>
      <c r="D1" s="10"/>
    </row>
    <row r="2" spans="1:12" x14ac:dyDescent="0.25">
      <c r="A2" t="s">
        <v>27</v>
      </c>
      <c r="B2" s="36" t="s">
        <v>101</v>
      </c>
    </row>
    <row r="3" spans="1:12" x14ac:dyDescent="0.25">
      <c r="A3" t="s">
        <v>28</v>
      </c>
      <c r="B3" s="37" t="s">
        <v>102</v>
      </c>
    </row>
    <row r="4" spans="1:12" x14ac:dyDescent="0.25">
      <c r="A4" t="s">
        <v>29</v>
      </c>
      <c r="B4" s="37" t="s">
        <v>103</v>
      </c>
    </row>
    <row r="5" spans="1:12" x14ac:dyDescent="0.25">
      <c r="A5" t="s">
        <v>30</v>
      </c>
      <c r="B5" s="9">
        <v>2026</v>
      </c>
    </row>
    <row r="6" spans="1:12" x14ac:dyDescent="0.25">
      <c r="A6" t="s">
        <v>32</v>
      </c>
      <c r="B6" s="37" t="s">
        <v>100</v>
      </c>
    </row>
    <row r="7" spans="1:12" x14ac:dyDescent="0.25">
      <c r="A7" t="s">
        <v>52</v>
      </c>
      <c r="B7" s="9">
        <v>52</v>
      </c>
    </row>
    <row r="8" spans="1:12" x14ac:dyDescent="0.25">
      <c r="A8" t="s">
        <v>55</v>
      </c>
      <c r="B8" s="23">
        <v>1.97</v>
      </c>
    </row>
    <row r="9" spans="1:12" x14ac:dyDescent="0.25">
      <c r="A9" t="s">
        <v>56</v>
      </c>
      <c r="B9" s="23">
        <v>3.91</v>
      </c>
    </row>
    <row r="10" spans="1:12" x14ac:dyDescent="0.25">
      <c r="A10" t="s">
        <v>70</v>
      </c>
      <c r="B10" s="23">
        <v>2.68</v>
      </c>
    </row>
    <row r="11" spans="1:12" x14ac:dyDescent="0.25">
      <c r="A11" t="s">
        <v>71</v>
      </c>
      <c r="B11" s="23">
        <v>3.71</v>
      </c>
    </row>
    <row r="12" spans="1:12" x14ac:dyDescent="0.25">
      <c r="A12" t="s">
        <v>12</v>
      </c>
      <c r="B12" s="23">
        <v>7.61</v>
      </c>
    </row>
    <row r="13" spans="1:12" x14ac:dyDescent="0.25">
      <c r="A13" t="s">
        <v>11</v>
      </c>
      <c r="B13" s="23">
        <v>6.26</v>
      </c>
    </row>
    <row r="14" spans="1:12" x14ac:dyDescent="0.25">
      <c r="A14" t="s">
        <v>77</v>
      </c>
      <c r="B14" s="23" t="s">
        <v>78</v>
      </c>
    </row>
    <row r="15" spans="1:12" x14ac:dyDescent="0.25">
      <c r="B15" s="23"/>
    </row>
    <row r="16" spans="1:12" x14ac:dyDescent="0.25">
      <c r="A16" s="4"/>
      <c r="B16" s="4"/>
      <c r="C16" s="4"/>
      <c r="D16" s="4"/>
      <c r="F16" s="4"/>
      <c r="G16" s="4"/>
      <c r="H16" s="4"/>
      <c r="I16" s="4"/>
      <c r="J16" s="4"/>
      <c r="K16" s="4"/>
      <c r="L16" s="4"/>
    </row>
    <row r="17" spans="1:12" x14ac:dyDescent="0.25">
      <c r="A17" s="7" t="s">
        <v>75</v>
      </c>
      <c r="B17" s="16" t="str">
        <f>IF(B4="NBBU","met beding 1+2","met beding A")</f>
        <v>met beding A</v>
      </c>
      <c r="C17" s="8" t="str">
        <f>IF(B4="NBBU","zonder beding 3+4","zonder beding B+C")</f>
        <v>zonder beding B+C</v>
      </c>
      <c r="D17" s="16" t="str">
        <f>IF(B4="NBBU","zonder beding 1+2","zonder beding A")</f>
        <v>zonder beding A</v>
      </c>
      <c r="F17" s="21" t="s">
        <v>17</v>
      </c>
      <c r="G17" s="22" t="s">
        <v>54</v>
      </c>
      <c r="H17" s="22" t="s">
        <v>54</v>
      </c>
      <c r="I17" s="22" t="s">
        <v>54</v>
      </c>
      <c r="J17" s="22" t="s">
        <v>73</v>
      </c>
      <c r="K17" s="22" t="s">
        <v>73</v>
      </c>
      <c r="L17" s="22" t="s">
        <v>73</v>
      </c>
    </row>
    <row r="18" spans="1:12" x14ac:dyDescent="0.25">
      <c r="A18" t="s">
        <v>1</v>
      </c>
      <c r="B18" s="2">
        <f>(J36/J37)*100</f>
        <v>2.6086956521739131</v>
      </c>
      <c r="C18" s="2">
        <v>0</v>
      </c>
      <c r="D18" s="2">
        <v>0</v>
      </c>
      <c r="F18" s="7"/>
      <c r="G18" s="16" t="str">
        <f>B17</f>
        <v>met beding A</v>
      </c>
      <c r="H18" s="8" t="str">
        <f>C17</f>
        <v>zonder beding B+C</v>
      </c>
      <c r="I18" s="16" t="str">
        <f>D17</f>
        <v>zonder beding A</v>
      </c>
      <c r="J18" s="16" t="str">
        <f>B17</f>
        <v>met beding A</v>
      </c>
      <c r="K18" s="8" t="str">
        <f>C17</f>
        <v>zonder beding B+C</v>
      </c>
      <c r="L18" s="16" t="str">
        <f>D17</f>
        <v>zonder beding A</v>
      </c>
    </row>
    <row r="19" spans="1:12" x14ac:dyDescent="0.25">
      <c r="A19" t="s">
        <v>26</v>
      </c>
      <c r="B19" s="2">
        <f>(J35/J37)*100</f>
        <v>10.869565217391305</v>
      </c>
      <c r="C19" s="2">
        <f>(J35/J37)*100</f>
        <v>10.869565217391305</v>
      </c>
      <c r="D19" s="2">
        <f>(J35/J37)*100</f>
        <v>10.869565217391305</v>
      </c>
      <c r="F19" t="s">
        <v>18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</row>
    <row r="20" spans="1:12" x14ac:dyDescent="0.25">
      <c r="A20" t="s">
        <v>25</v>
      </c>
      <c r="B20" s="2">
        <v>8.33</v>
      </c>
      <c r="C20" s="2">
        <v>8.33</v>
      </c>
      <c r="D20" s="2">
        <v>8.33</v>
      </c>
      <c r="F20" t="s">
        <v>19</v>
      </c>
      <c r="G20" s="2">
        <v>0.2</v>
      </c>
      <c r="H20" s="2">
        <v>0</v>
      </c>
      <c r="I20" s="2">
        <v>0.2</v>
      </c>
      <c r="J20" s="2">
        <v>0.2</v>
      </c>
      <c r="K20" s="2">
        <v>0</v>
      </c>
      <c r="L20" s="2">
        <v>0.2</v>
      </c>
    </row>
    <row r="21" spans="1:12" x14ac:dyDescent="0.25">
      <c r="A21" t="s">
        <v>2</v>
      </c>
      <c r="B21" s="2">
        <v>8.33</v>
      </c>
      <c r="C21" s="2">
        <v>8.33</v>
      </c>
      <c r="D21" s="2">
        <v>8.33</v>
      </c>
      <c r="F21" t="s">
        <v>20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</row>
    <row r="22" spans="1:12" x14ac:dyDescent="0.25">
      <c r="B22" s="2"/>
      <c r="C22" s="2"/>
      <c r="D22" s="2"/>
      <c r="F22" t="s">
        <v>21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</row>
    <row r="23" spans="1:12" x14ac:dyDescent="0.25">
      <c r="A23" s="4"/>
      <c r="B23" s="3"/>
      <c r="C23" s="4"/>
      <c r="D23" s="3"/>
      <c r="F23" t="s">
        <v>22</v>
      </c>
      <c r="G23" s="2">
        <v>0.6</v>
      </c>
      <c r="H23" s="2">
        <v>0.6</v>
      </c>
      <c r="I23" s="2">
        <v>0.6</v>
      </c>
      <c r="J23" s="2">
        <v>0.6</v>
      </c>
      <c r="K23" s="2">
        <v>0.6</v>
      </c>
      <c r="L23" s="2">
        <v>0.6</v>
      </c>
    </row>
    <row r="24" spans="1:12" x14ac:dyDescent="0.25">
      <c r="A24" s="7" t="s">
        <v>16</v>
      </c>
      <c r="B24" s="16" t="s">
        <v>4</v>
      </c>
      <c r="C24" s="8" t="s">
        <v>5</v>
      </c>
      <c r="D24" s="16" t="s">
        <v>8</v>
      </c>
      <c r="F24" t="s">
        <v>23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</row>
    <row r="25" spans="1:12" x14ac:dyDescent="0.25">
      <c r="A25" t="s">
        <v>6</v>
      </c>
      <c r="B25" s="19">
        <v>0.3</v>
      </c>
      <c r="C25" s="19">
        <v>1.9</v>
      </c>
      <c r="D25" s="19">
        <f t="shared" ref="D25:D33" si="0">SUM(B25:C25)</f>
        <v>2.1999999999999997</v>
      </c>
      <c r="F25" t="s">
        <v>24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 x14ac:dyDescent="0.25">
      <c r="A26" t="s">
        <v>7</v>
      </c>
      <c r="B26" s="19">
        <v>0.7</v>
      </c>
      <c r="C26" s="19">
        <v>3.26</v>
      </c>
      <c r="D26" s="19">
        <f t="shared" si="0"/>
        <v>3.96</v>
      </c>
      <c r="F26" t="s">
        <v>60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 spans="1:12" x14ac:dyDescent="0.25">
      <c r="A27" t="s">
        <v>9</v>
      </c>
      <c r="B27" s="19">
        <v>0</v>
      </c>
      <c r="C27" s="19">
        <v>6.1</v>
      </c>
      <c r="D27" s="19">
        <f t="shared" si="0"/>
        <v>6.1</v>
      </c>
      <c r="F27" t="s">
        <v>61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</row>
    <row r="28" spans="1:12" x14ac:dyDescent="0.25">
      <c r="A28" t="s">
        <v>40</v>
      </c>
      <c r="B28" s="19">
        <f>IF(B6="klein",(B10/2),(B8/2))</f>
        <v>1.34</v>
      </c>
      <c r="C28" s="19">
        <f>IF(B6="klein",(B10/2),(B8/2))</f>
        <v>1.34</v>
      </c>
      <c r="D28" s="19">
        <f t="shared" si="0"/>
        <v>2.68</v>
      </c>
      <c r="F28" t="s">
        <v>62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</row>
    <row r="29" spans="1:12" x14ac:dyDescent="0.25">
      <c r="A29" t="str">
        <f>IF(B14="ja","Gedifferentieerde premie WhK (ZW-Flex) ERD","Gedifferentieerde premie WhK (ZW-Flex)")</f>
        <v>Gedifferentieerde premie WhK (ZW-Flex)</v>
      </c>
      <c r="B29" s="19">
        <v>0</v>
      </c>
      <c r="C29" s="19">
        <f>IF(B6="klein",B11,B9)</f>
        <v>3.71</v>
      </c>
      <c r="D29" s="19">
        <f t="shared" si="0"/>
        <v>3.71</v>
      </c>
      <c r="F29" t="s">
        <v>63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1:12" x14ac:dyDescent="0.25">
      <c r="A30" t="s">
        <v>10</v>
      </c>
      <c r="B30" s="19">
        <v>0</v>
      </c>
      <c r="C30" s="19">
        <v>7.74</v>
      </c>
      <c r="D30" s="19">
        <f t="shared" si="0"/>
        <v>7.74</v>
      </c>
      <c r="F30" t="s">
        <v>36</v>
      </c>
      <c r="G30" s="2">
        <f>SUM(G19:G29)</f>
        <v>0.8</v>
      </c>
      <c r="H30" s="2">
        <f t="shared" ref="H30:I30" si="1">SUM(H19:H29)</f>
        <v>0.6</v>
      </c>
      <c r="I30" s="2">
        <f t="shared" si="1"/>
        <v>0.8</v>
      </c>
      <c r="J30" s="2">
        <f>SUM(J19:J29)</f>
        <v>0.8</v>
      </c>
      <c r="K30" s="2">
        <f t="shared" ref="K30" si="2">SUM(K19:K29)</f>
        <v>0.6</v>
      </c>
      <c r="L30" s="2">
        <f t="shared" ref="L30" si="3">SUM(L19:L29)</f>
        <v>0.8</v>
      </c>
    </row>
    <row r="31" spans="1:12" x14ac:dyDescent="0.25">
      <c r="A31" t="s">
        <v>33</v>
      </c>
      <c r="B31" s="19">
        <v>0</v>
      </c>
      <c r="C31" s="19">
        <f>IF(B6="klein",B13,B12)</f>
        <v>6.26</v>
      </c>
      <c r="D31" s="19">
        <f>SUM(B31:C31)</f>
        <v>6.26</v>
      </c>
      <c r="G31" s="2"/>
      <c r="H31" s="2"/>
      <c r="I31" s="2"/>
      <c r="J31" s="2"/>
    </row>
    <row r="32" spans="1:12" x14ac:dyDescent="0.25">
      <c r="A32" t="s">
        <v>57</v>
      </c>
      <c r="B32" s="19">
        <v>0</v>
      </c>
      <c r="C32" s="19">
        <v>0.5</v>
      </c>
      <c r="D32" s="19">
        <f t="shared" ref="D32" si="4">SUM(B32:C32)</f>
        <v>0.5</v>
      </c>
      <c r="F32" s="4"/>
      <c r="G32" s="4"/>
      <c r="H32" s="4"/>
      <c r="I32" s="4"/>
      <c r="J32" s="4"/>
    </row>
    <row r="33" spans="1:10" x14ac:dyDescent="0.25">
      <c r="A33" t="s">
        <v>13</v>
      </c>
      <c r="B33" s="19">
        <v>0</v>
      </c>
      <c r="C33" s="19">
        <v>0.1</v>
      </c>
      <c r="D33" s="19">
        <f t="shared" si="0"/>
        <v>0.1</v>
      </c>
      <c r="F33" s="7" t="s">
        <v>59</v>
      </c>
      <c r="G33" s="7"/>
      <c r="H33" s="7"/>
      <c r="I33" s="7"/>
      <c r="J33" s="8"/>
    </row>
    <row r="34" spans="1:10" x14ac:dyDescent="0.25">
      <c r="B34" s="2"/>
      <c r="C34" s="19"/>
      <c r="F34" t="s">
        <v>47</v>
      </c>
      <c r="J34">
        <v>261</v>
      </c>
    </row>
    <row r="35" spans="1:10" x14ac:dyDescent="0.25">
      <c r="A35" s="4"/>
      <c r="B35" s="3"/>
      <c r="C35" s="20"/>
      <c r="D35" s="4"/>
      <c r="F35" t="s">
        <v>0</v>
      </c>
      <c r="J35" s="38">
        <v>25</v>
      </c>
    </row>
    <row r="36" spans="1:10" x14ac:dyDescent="0.25">
      <c r="A36" s="7" t="s">
        <v>14</v>
      </c>
      <c r="B36" s="16" t="s">
        <v>4</v>
      </c>
      <c r="C36" s="8" t="s">
        <v>5</v>
      </c>
      <c r="D36" s="16" t="s">
        <v>8</v>
      </c>
      <c r="F36" t="s">
        <v>48</v>
      </c>
      <c r="J36" s="39">
        <v>6</v>
      </c>
    </row>
    <row r="37" spans="1:10" x14ac:dyDescent="0.25">
      <c r="A37" t="s">
        <v>84</v>
      </c>
      <c r="B37" s="2">
        <v>7.95</v>
      </c>
      <c r="C37" s="5">
        <v>15.9</v>
      </c>
      <c r="D37" s="2">
        <f t="shared" ref="D37" si="5">SUM(B37:C37)</f>
        <v>23.85</v>
      </c>
      <c r="F37" t="s">
        <v>49</v>
      </c>
      <c r="J37">
        <f>J34-J35-J36</f>
        <v>230</v>
      </c>
    </row>
    <row r="38" spans="1:10" x14ac:dyDescent="0.25">
      <c r="A38" t="s">
        <v>83</v>
      </c>
      <c r="B38" s="2"/>
      <c r="C38" s="5"/>
      <c r="D38" s="35">
        <v>25</v>
      </c>
    </row>
    <row r="39" spans="1:10" x14ac:dyDescent="0.25">
      <c r="A39" t="s">
        <v>15</v>
      </c>
      <c r="B39" s="2"/>
      <c r="D39" s="5">
        <v>8.9</v>
      </c>
    </row>
    <row r="40" spans="1:10" x14ac:dyDescent="0.25">
      <c r="A40" t="s">
        <v>95</v>
      </c>
      <c r="B40" s="2"/>
      <c r="D40" s="32">
        <v>0.85299999999999998</v>
      </c>
    </row>
    <row r="41" spans="1:10" x14ac:dyDescent="0.25">
      <c r="B41" s="2"/>
      <c r="D41" s="5"/>
    </row>
    <row r="42" spans="1:10" x14ac:dyDescent="0.25">
      <c r="A42" s="4"/>
      <c r="B42" s="4"/>
    </row>
    <row r="43" spans="1:10" x14ac:dyDescent="0.25">
      <c r="A43" s="7" t="s">
        <v>66</v>
      </c>
      <c r="B43" s="16"/>
    </row>
    <row r="44" spans="1:10" x14ac:dyDescent="0.25">
      <c r="A44" t="s">
        <v>67</v>
      </c>
      <c r="B44" s="24">
        <f>C25+C27+C28+C29+C30+C31+C32+C33+kostprijzen!B48</f>
        <v>37.889600000000002</v>
      </c>
    </row>
    <row r="45" spans="1:10" x14ac:dyDescent="0.25">
      <c r="A45" t="s">
        <v>68</v>
      </c>
      <c r="B45" s="2">
        <f>C26+C27+C28+C29+C30+C31+C32+C33+kostprijzen!K48</f>
        <v>39.249600000000001</v>
      </c>
    </row>
    <row r="46" spans="1:10" x14ac:dyDescent="0.25">
      <c r="A46" t="s">
        <v>69</v>
      </c>
      <c r="B46" s="2">
        <f>C27+C28+C29+C30+C31+C32+C33+kostprijzen!E48</f>
        <v>35.989600000000003</v>
      </c>
    </row>
    <row r="49" spans="1:2" x14ac:dyDescent="0.25">
      <c r="A49" s="11" t="s">
        <v>79</v>
      </c>
      <c r="B49" s="11"/>
    </row>
    <row r="50" spans="1:2" x14ac:dyDescent="0.25">
      <c r="A50" s="1"/>
      <c r="B50" s="1"/>
    </row>
    <row r="52" spans="1:2" x14ac:dyDescent="0.25">
      <c r="A52" t="s">
        <v>80</v>
      </c>
    </row>
    <row r="54" spans="1:2" x14ac:dyDescent="0.25">
      <c r="A54" t="s">
        <v>81</v>
      </c>
    </row>
    <row r="56" spans="1:2" x14ac:dyDescent="0.25">
      <c r="A56" t="s">
        <v>82</v>
      </c>
    </row>
    <row r="63" spans="1:2" x14ac:dyDescent="0.25">
      <c r="A63" t="s">
        <v>85</v>
      </c>
    </row>
    <row r="65" spans="1:3" x14ac:dyDescent="0.25">
      <c r="A65" t="s">
        <v>1</v>
      </c>
      <c r="B65" s="30">
        <v>6</v>
      </c>
      <c r="C65" s="14">
        <f>B65/B78</f>
        <v>2.6086956521739129E-2</v>
      </c>
    </row>
    <row r="67" spans="1:3" x14ac:dyDescent="0.25">
      <c r="A67" t="s">
        <v>89</v>
      </c>
      <c r="B67" s="29">
        <v>46023</v>
      </c>
    </row>
    <row r="68" spans="1:3" x14ac:dyDescent="0.25">
      <c r="A68" t="s">
        <v>94</v>
      </c>
      <c r="B68" s="29">
        <v>46118</v>
      </c>
    </row>
    <row r="69" spans="1:3" x14ac:dyDescent="0.25">
      <c r="A69" t="s">
        <v>90</v>
      </c>
      <c r="B69" s="29">
        <v>46139</v>
      </c>
    </row>
    <row r="70" spans="1:3" x14ac:dyDescent="0.25">
      <c r="A70" t="s">
        <v>92</v>
      </c>
      <c r="B70" s="29">
        <v>46156</v>
      </c>
    </row>
    <row r="71" spans="1:3" x14ac:dyDescent="0.25">
      <c r="A71" t="s">
        <v>91</v>
      </c>
      <c r="B71" s="29">
        <v>46167</v>
      </c>
    </row>
    <row r="72" spans="1:3" x14ac:dyDescent="0.25">
      <c r="A72" t="s">
        <v>93</v>
      </c>
      <c r="B72" s="29">
        <v>46381</v>
      </c>
    </row>
    <row r="74" spans="1:3" x14ac:dyDescent="0.25">
      <c r="A74" t="s">
        <v>87</v>
      </c>
      <c r="B74" s="31">
        <v>261</v>
      </c>
    </row>
    <row r="76" spans="1:3" x14ac:dyDescent="0.25">
      <c r="A76" t="s">
        <v>88</v>
      </c>
      <c r="B76">
        <v>25</v>
      </c>
      <c r="C76" s="14">
        <f>B76/B78</f>
        <v>0.10869565217391304</v>
      </c>
    </row>
    <row r="78" spans="1:3" x14ac:dyDescent="0.25">
      <c r="A78" t="s">
        <v>49</v>
      </c>
      <c r="B78" s="30">
        <f>B74-B76-B65</f>
        <v>230</v>
      </c>
    </row>
  </sheetData>
  <conditionalFormatting sqref="A29">
    <cfRule type="cellIs" dxfId="1" priority="1" operator="equal">
      <formula>"""Gedifferentieerde premie ZW-Flex ERD"""</formula>
    </cfRule>
  </conditionalFormatting>
  <pageMargins left="0.39370078740157483" right="0.27559055118110237" top="0.35433070866141736" bottom="0.35433070866141736" header="0.23622047244094491" footer="0.23622047244094491"/>
  <pageSetup paperSize="9" scale="60" pageOrder="overThenDown" orientation="landscape" r:id="rId1"/>
  <headerFooter>
    <oddFooter>&amp;C&amp;8&amp;D&amp;R&amp;8administratie &amp;A</oddFooter>
  </headerFooter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4"/>
  <sheetViews>
    <sheetView tabSelected="1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E40" sqref="E40"/>
    </sheetView>
  </sheetViews>
  <sheetFormatPr defaultColWidth="8.85546875" defaultRowHeight="15" x14ac:dyDescent="0.25"/>
  <cols>
    <col min="1" max="1" width="43.140625" customWidth="1"/>
    <col min="2" max="3" width="11.42578125" customWidth="1"/>
    <col min="4" max="4" width="3.7109375" customWidth="1"/>
    <col min="5" max="6" width="11.42578125" customWidth="1"/>
    <col min="7" max="7" width="3.7109375" customWidth="1"/>
    <col min="8" max="9" width="11.42578125" customWidth="1"/>
    <col min="10" max="10" width="3.7109375" customWidth="1"/>
    <col min="11" max="12" width="11.42578125" customWidth="1"/>
    <col min="13" max="13" width="3.7109375" customWidth="1"/>
    <col min="14" max="15" width="11.42578125" customWidth="1"/>
    <col min="16" max="16" width="3.7109375" customWidth="1"/>
    <col min="17" max="18" width="11.42578125" customWidth="1"/>
  </cols>
  <sheetData>
    <row r="1" spans="1:18" x14ac:dyDescent="0.25">
      <c r="A1" s="1" t="str">
        <f>CONCATENATE(stamgegevens!B3," ",stamgegevens!B5)</f>
        <v>CREATENEW  WORK 2026</v>
      </c>
      <c r="B1" s="40" t="s">
        <v>34</v>
      </c>
      <c r="C1" s="40"/>
      <c r="E1" s="40" t="s">
        <v>34</v>
      </c>
      <c r="F1" s="40"/>
      <c r="H1" s="40" t="s">
        <v>34</v>
      </c>
      <c r="I1" s="40"/>
      <c r="K1" s="40" t="s">
        <v>72</v>
      </c>
      <c r="L1" s="40"/>
      <c r="N1" s="40" t="s">
        <v>72</v>
      </c>
      <c r="O1" s="40"/>
      <c r="Q1" s="40" t="s">
        <v>72</v>
      </c>
      <c r="R1" s="40"/>
    </row>
    <row r="2" spans="1:18" x14ac:dyDescent="0.25">
      <c r="B2" s="41" t="str">
        <f>stamgegevens!$B$17</f>
        <v>met beding A</v>
      </c>
      <c r="C2" s="40"/>
      <c r="E2" s="40" t="str">
        <f>stamgegevens!$C$17</f>
        <v>zonder beding B+C</v>
      </c>
      <c r="F2" s="40"/>
      <c r="H2" s="41" t="str">
        <f>stamgegevens!$D$17</f>
        <v>zonder beding A</v>
      </c>
      <c r="I2" s="40"/>
      <c r="K2" s="41" t="str">
        <f>stamgegevens!$B$17</f>
        <v>met beding A</v>
      </c>
      <c r="L2" s="40"/>
      <c r="N2" s="40" t="str">
        <f>stamgegevens!$C$17</f>
        <v>zonder beding B+C</v>
      </c>
      <c r="O2" s="40"/>
      <c r="Q2" s="41" t="str">
        <f>stamgegevens!$D$17</f>
        <v>zonder beding A</v>
      </c>
      <c r="R2" s="40"/>
    </row>
    <row r="3" spans="1:18" x14ac:dyDescent="0.25">
      <c r="B3" s="28"/>
      <c r="C3" s="26"/>
      <c r="E3" s="26"/>
      <c r="F3" s="26"/>
      <c r="H3" s="27"/>
      <c r="I3" s="26"/>
      <c r="K3" s="27"/>
      <c r="L3" s="26"/>
      <c r="N3" s="26"/>
      <c r="O3" s="26"/>
      <c r="Q3" s="27"/>
      <c r="R3" s="26"/>
    </row>
    <row r="5" spans="1:18" x14ac:dyDescent="0.25">
      <c r="A5" s="1" t="s">
        <v>76</v>
      </c>
    </row>
    <row r="6" spans="1:18" x14ac:dyDescent="0.25">
      <c r="A6" t="s">
        <v>47</v>
      </c>
      <c r="B6">
        <f>stamgegevens!$J$34</f>
        <v>261</v>
      </c>
      <c r="E6">
        <f>stamgegevens!$J$34</f>
        <v>261</v>
      </c>
      <c r="H6">
        <f>stamgegevens!$J$34</f>
        <v>261</v>
      </c>
      <c r="K6">
        <f>stamgegevens!$J$34</f>
        <v>261</v>
      </c>
      <c r="N6">
        <f>stamgegevens!$J$34</f>
        <v>261</v>
      </c>
      <c r="Q6">
        <f>stamgegevens!$J$34</f>
        <v>261</v>
      </c>
    </row>
    <row r="7" spans="1:18" x14ac:dyDescent="0.25">
      <c r="A7" t="s">
        <v>0</v>
      </c>
      <c r="B7">
        <f>stamgegevens!$J$35</f>
        <v>25</v>
      </c>
      <c r="C7" s="14">
        <f>B7/B10</f>
        <v>0.10869565217391304</v>
      </c>
      <c r="E7">
        <f>stamgegevens!$J$35</f>
        <v>25</v>
      </c>
      <c r="F7" s="14">
        <f>E7/E10</f>
        <v>0.10869565217391304</v>
      </c>
      <c r="H7">
        <f>stamgegevens!$J$35</f>
        <v>25</v>
      </c>
      <c r="I7" s="14">
        <f>H7/H10</f>
        <v>0.10869565217391304</v>
      </c>
      <c r="K7">
        <f>stamgegevens!$J$35</f>
        <v>25</v>
      </c>
      <c r="L7" s="14">
        <f>K7/K10</f>
        <v>0.10869565217391304</v>
      </c>
      <c r="N7">
        <f>stamgegevens!$J$35</f>
        <v>25</v>
      </c>
      <c r="O7" s="14">
        <f>N7/N10</f>
        <v>0.10869565217391304</v>
      </c>
      <c r="Q7">
        <f>stamgegevens!$J$35</f>
        <v>25</v>
      </c>
      <c r="R7" s="14">
        <f>Q7/Q10</f>
        <v>0.10869565217391304</v>
      </c>
    </row>
    <row r="8" spans="1:18" x14ac:dyDescent="0.25">
      <c r="A8" t="s">
        <v>48</v>
      </c>
      <c r="B8">
        <f>stamgegevens!$J$36</f>
        <v>6</v>
      </c>
      <c r="C8" s="14">
        <f>B8/B10</f>
        <v>2.6086956521739129E-2</v>
      </c>
      <c r="E8">
        <f>stamgegevens!$J$36</f>
        <v>6</v>
      </c>
      <c r="F8" s="34">
        <f>E8/E10</f>
        <v>2.6086956521739129E-2</v>
      </c>
      <c r="H8">
        <f>stamgegevens!$J$36</f>
        <v>6</v>
      </c>
      <c r="I8" s="34">
        <f>H8/H10</f>
        <v>2.6086956521739129E-2</v>
      </c>
      <c r="K8">
        <f>stamgegevens!$J$36</f>
        <v>6</v>
      </c>
      <c r="L8" s="34">
        <f>K8/K10</f>
        <v>2.6086956521739129E-2</v>
      </c>
      <c r="N8">
        <f>stamgegevens!$J$36</f>
        <v>6</v>
      </c>
      <c r="O8" s="34">
        <f>N8/N10</f>
        <v>2.6086956521739129E-2</v>
      </c>
      <c r="Q8">
        <f>stamgegevens!$J$36</f>
        <v>6</v>
      </c>
      <c r="R8" s="14">
        <f>Q8/Q10</f>
        <v>2.6086956521739129E-2</v>
      </c>
    </row>
    <row r="9" spans="1:18" x14ac:dyDescent="0.25">
      <c r="A9" s="38" t="s">
        <v>51</v>
      </c>
      <c r="B9" s="4">
        <v>0</v>
      </c>
      <c r="C9" s="14">
        <f>B9/B10</f>
        <v>0</v>
      </c>
      <c r="E9" s="4">
        <v>0</v>
      </c>
      <c r="F9" s="14">
        <f>E9/E10</f>
        <v>0</v>
      </c>
      <c r="H9" s="4">
        <v>0</v>
      </c>
      <c r="I9" s="14">
        <f>H9/H10</f>
        <v>0</v>
      </c>
      <c r="K9" s="4">
        <v>0</v>
      </c>
      <c r="L9" s="14">
        <f>K9/K10</f>
        <v>0</v>
      </c>
      <c r="N9" s="4">
        <v>0</v>
      </c>
      <c r="O9" s="14">
        <f>N9/N10</f>
        <v>0</v>
      </c>
      <c r="Q9" s="4">
        <v>0</v>
      </c>
      <c r="R9" s="14">
        <f>Q9/Q10</f>
        <v>0</v>
      </c>
    </row>
    <row r="10" spans="1:18" x14ac:dyDescent="0.25">
      <c r="A10" t="s">
        <v>49</v>
      </c>
      <c r="B10">
        <f>B6-B7-B8-B9</f>
        <v>230</v>
      </c>
      <c r="E10">
        <f>E6-E7-E8-E9</f>
        <v>230</v>
      </c>
      <c r="H10">
        <f>H6-H7-H8-H9</f>
        <v>230</v>
      </c>
      <c r="K10">
        <f>K6-K7-K8-K9</f>
        <v>230</v>
      </c>
      <c r="N10">
        <f>N6-N7-N8-N9</f>
        <v>230</v>
      </c>
      <c r="Q10">
        <f>Q6-Q7-Q8-Q9</f>
        <v>230</v>
      </c>
    </row>
    <row r="12" spans="1:18" x14ac:dyDescent="0.25">
      <c r="A12" s="38" t="s">
        <v>99</v>
      </c>
      <c r="B12" s="14"/>
      <c r="C12" s="2">
        <v>8</v>
      </c>
      <c r="E12" s="14"/>
      <c r="F12" s="2">
        <v>8</v>
      </c>
      <c r="H12" s="14"/>
      <c r="I12" s="2">
        <v>8</v>
      </c>
      <c r="K12" s="14"/>
      <c r="L12" s="2">
        <v>8</v>
      </c>
      <c r="N12" s="14"/>
      <c r="O12" s="2">
        <v>8</v>
      </c>
      <c r="Q12" s="14"/>
      <c r="R12" s="2">
        <v>8</v>
      </c>
    </row>
    <row r="13" spans="1:18" x14ac:dyDescent="0.25">
      <c r="A13" s="38" t="s">
        <v>96</v>
      </c>
      <c r="B13" s="14"/>
      <c r="C13" s="5">
        <v>0</v>
      </c>
      <c r="E13" s="14"/>
      <c r="F13" s="5">
        <v>0</v>
      </c>
      <c r="H13" s="14"/>
      <c r="I13" s="5">
        <v>0</v>
      </c>
      <c r="K13" s="14"/>
      <c r="L13" s="5">
        <v>0</v>
      </c>
      <c r="N13" s="14"/>
      <c r="O13" s="5">
        <v>0</v>
      </c>
      <c r="Q13" s="14"/>
      <c r="R13" s="5">
        <v>0</v>
      </c>
    </row>
    <row r="14" spans="1:18" x14ac:dyDescent="0.25">
      <c r="A14" t="s">
        <v>97</v>
      </c>
      <c r="B14" s="14"/>
      <c r="C14" s="5">
        <f>IF(C13&gt;stamgegevens!$C$37,kostprijzen!C13-stamgegevens!$C$37,0)</f>
        <v>0</v>
      </c>
      <c r="E14" s="14"/>
      <c r="F14" s="5">
        <f>IF(F13&gt;stamgegevens!$C$37,kostprijzen!F13-stamgegevens!$C$37,0)</f>
        <v>0</v>
      </c>
      <c r="H14" s="14"/>
      <c r="I14" s="5">
        <f>IF(I13&gt;stamgegevens!$C$37,kostprijzen!I13-stamgegevens!$C$37,0)</f>
        <v>0</v>
      </c>
      <c r="K14" s="14"/>
      <c r="L14" s="5">
        <f>IF(L13&gt;stamgegevens!$C$37,kostprijzen!L13-stamgegevens!$C$37,0)</f>
        <v>0</v>
      </c>
      <c r="N14" s="14"/>
      <c r="O14" s="5">
        <f>IF(O13&gt;stamgegevens!$C$37,kostprijzen!O13-stamgegevens!$C$37,0)</f>
        <v>0</v>
      </c>
      <c r="Q14" s="14"/>
      <c r="R14" s="5">
        <f>IF(R13&gt;stamgegevens!$C$37,kostprijzen!R13-stamgegevens!$C$37,0)</f>
        <v>0</v>
      </c>
    </row>
    <row r="15" spans="1:18" x14ac:dyDescent="0.25">
      <c r="B15" s="14"/>
      <c r="E15" s="14"/>
      <c r="H15" s="14"/>
      <c r="K15" s="14"/>
      <c r="N15" s="14"/>
      <c r="Q15" s="14"/>
    </row>
    <row r="16" spans="1:18" x14ac:dyDescent="0.25">
      <c r="A16" s="1" t="s">
        <v>35</v>
      </c>
      <c r="C16" s="6">
        <v>100</v>
      </c>
      <c r="F16" s="6">
        <v>100</v>
      </c>
      <c r="I16" s="6">
        <v>100</v>
      </c>
      <c r="L16" s="6">
        <v>100</v>
      </c>
      <c r="O16" s="6">
        <v>100</v>
      </c>
      <c r="R16" s="6">
        <v>100</v>
      </c>
    </row>
    <row r="17" spans="1:18" x14ac:dyDescent="0.25">
      <c r="B17" s="2"/>
      <c r="C17" s="6"/>
      <c r="E17" s="2"/>
      <c r="F17" s="6"/>
      <c r="H17" s="2"/>
      <c r="I17" s="6"/>
      <c r="K17" s="2"/>
      <c r="L17" s="6"/>
      <c r="N17" s="2"/>
      <c r="O17" s="6"/>
      <c r="Q17" s="2"/>
      <c r="R17" s="6"/>
    </row>
    <row r="18" spans="1:18" x14ac:dyDescent="0.25">
      <c r="A18" s="13" t="s">
        <v>64</v>
      </c>
      <c r="C18" s="6"/>
      <c r="F18" s="6"/>
      <c r="I18" s="6"/>
      <c r="L18" s="6"/>
      <c r="O18" s="6"/>
      <c r="R18" s="6"/>
    </row>
    <row r="19" spans="1:18" x14ac:dyDescent="0.25">
      <c r="A19" t="s">
        <v>1</v>
      </c>
      <c r="B19" s="2">
        <f>C8*100</f>
        <v>2.6086956521739131</v>
      </c>
      <c r="C19" s="6"/>
      <c r="E19" s="2">
        <f>F8*100</f>
        <v>2.6086956521739131</v>
      </c>
      <c r="F19" s="6"/>
      <c r="H19" s="2">
        <f>I8*100</f>
        <v>2.6086956521739131</v>
      </c>
      <c r="I19" s="6"/>
      <c r="K19" s="2">
        <f>L8*100</f>
        <v>2.6086956521739131</v>
      </c>
      <c r="L19" s="6"/>
      <c r="N19" s="2">
        <f>O8*100</f>
        <v>2.6086956521739131</v>
      </c>
      <c r="O19" s="6"/>
      <c r="Q19" s="2">
        <f>R8*100</f>
        <v>2.6086956521739131</v>
      </c>
      <c r="R19" s="6"/>
    </row>
    <row r="20" spans="1:18" x14ac:dyDescent="0.25">
      <c r="A20" t="s">
        <v>37</v>
      </c>
      <c r="B20" s="2">
        <f>C7*100</f>
        <v>10.869565217391305</v>
      </c>
      <c r="C20" s="6"/>
      <c r="E20" s="2">
        <f>F7*100</f>
        <v>10.869565217391305</v>
      </c>
      <c r="F20" s="6"/>
      <c r="H20" s="2">
        <f>I7*100</f>
        <v>10.869565217391305</v>
      </c>
      <c r="I20" s="6"/>
      <c r="K20" s="2">
        <f>L7*100</f>
        <v>10.869565217391305</v>
      </c>
      <c r="L20" s="6"/>
      <c r="N20" s="2">
        <f>O7*100</f>
        <v>10.869565217391305</v>
      </c>
      <c r="O20" s="6"/>
      <c r="Q20" s="2">
        <f>R7*100</f>
        <v>10.869565217391305</v>
      </c>
      <c r="R20" s="6"/>
    </row>
    <row r="21" spans="1:18" x14ac:dyDescent="0.25">
      <c r="A21" t="s">
        <v>38</v>
      </c>
      <c r="B21" s="2">
        <f>C9*100</f>
        <v>0</v>
      </c>
      <c r="C21" s="6"/>
      <c r="E21" s="2">
        <f>F9*100</f>
        <v>0</v>
      </c>
      <c r="F21" s="6"/>
      <c r="H21" s="2">
        <f>I9*100</f>
        <v>0</v>
      </c>
      <c r="I21" s="6"/>
      <c r="K21" s="2">
        <f>L9*100</f>
        <v>0</v>
      </c>
      <c r="L21" s="6"/>
      <c r="N21" s="2">
        <f>O9*100</f>
        <v>0</v>
      </c>
      <c r="O21" s="6"/>
      <c r="Q21" s="2">
        <f>R9*100</f>
        <v>0</v>
      </c>
      <c r="R21" s="6"/>
    </row>
    <row r="22" spans="1:18" x14ac:dyDescent="0.25">
      <c r="A22" s="38" t="s">
        <v>39</v>
      </c>
      <c r="B22" s="12">
        <v>0</v>
      </c>
      <c r="C22" s="6"/>
      <c r="E22" s="12">
        <v>0</v>
      </c>
      <c r="F22" s="6"/>
      <c r="H22" s="12">
        <v>0</v>
      </c>
      <c r="I22" s="6"/>
      <c r="K22" s="12">
        <v>0</v>
      </c>
      <c r="L22" s="6"/>
      <c r="N22" s="12">
        <v>0</v>
      </c>
      <c r="O22" s="6"/>
      <c r="Q22" s="12">
        <v>0</v>
      </c>
      <c r="R22" s="6"/>
    </row>
    <row r="23" spans="1:18" x14ac:dyDescent="0.25">
      <c r="A23" t="s">
        <v>36</v>
      </c>
      <c r="B23" s="2">
        <f>SUM(B19:B22)</f>
        <v>13.478260869565219</v>
      </c>
      <c r="C23" s="15">
        <f>(B23/100)*C16</f>
        <v>13.478260869565217</v>
      </c>
      <c r="E23" s="2">
        <f>SUM(E19:E22)</f>
        <v>13.478260869565219</v>
      </c>
      <c r="F23" s="15">
        <f>(E23/100)*F16</f>
        <v>13.478260869565217</v>
      </c>
      <c r="H23" s="2">
        <f>SUM(H19:H22)</f>
        <v>13.478260869565219</v>
      </c>
      <c r="I23" s="15">
        <f>(H23/100)*I16</f>
        <v>13.478260869565217</v>
      </c>
      <c r="K23" s="2">
        <f>SUM(K19:K22)</f>
        <v>13.478260869565219</v>
      </c>
      <c r="L23" s="15">
        <f>(K23/100)*L16</f>
        <v>13.478260869565217</v>
      </c>
      <c r="N23" s="2">
        <f>SUM(N19:N22)</f>
        <v>13.478260869565219</v>
      </c>
      <c r="O23" s="15">
        <f>(N23/100)*O16</f>
        <v>13.478260869565217</v>
      </c>
      <c r="Q23" s="2">
        <f>SUM(Q19:Q22)</f>
        <v>13.478260869565219</v>
      </c>
      <c r="R23" s="15">
        <f>(Q23/100)*R16</f>
        <v>13.478260869565217</v>
      </c>
    </row>
    <row r="24" spans="1:18" x14ac:dyDescent="0.25">
      <c r="C24" s="6">
        <f>C16+C23</f>
        <v>113.47826086956522</v>
      </c>
      <c r="F24" s="6">
        <f>F16+F23</f>
        <v>113.47826086956522</v>
      </c>
      <c r="I24" s="6">
        <f>I16+I23</f>
        <v>113.47826086956522</v>
      </c>
      <c r="L24" s="6">
        <f>L16+L23</f>
        <v>113.47826086956522</v>
      </c>
      <c r="O24" s="6">
        <f>O16+O23</f>
        <v>113.47826086956522</v>
      </c>
      <c r="R24" s="6">
        <f>R16+R23</f>
        <v>113.47826086956522</v>
      </c>
    </row>
    <row r="25" spans="1:18" x14ac:dyDescent="0.25">
      <c r="A25" s="13" t="s">
        <v>74</v>
      </c>
      <c r="C25" s="6"/>
      <c r="F25" s="6"/>
      <c r="I25" s="6"/>
      <c r="L25" s="6"/>
      <c r="O25" s="6"/>
      <c r="R25" s="6"/>
    </row>
    <row r="26" spans="1:18" x14ac:dyDescent="0.25">
      <c r="A26" s="38" t="s">
        <v>2</v>
      </c>
      <c r="B26" s="2">
        <f>C12</f>
        <v>8</v>
      </c>
      <c r="C26" s="6"/>
      <c r="E26" s="2">
        <f>F12</f>
        <v>8</v>
      </c>
      <c r="F26" s="6"/>
      <c r="H26" s="2">
        <f>I12</f>
        <v>8</v>
      </c>
      <c r="I26" s="6"/>
      <c r="K26" s="2">
        <f>L12</f>
        <v>8</v>
      </c>
      <c r="L26" s="6"/>
      <c r="N26" s="2">
        <f>O12</f>
        <v>8</v>
      </c>
      <c r="O26" s="6"/>
      <c r="Q26" s="2">
        <f>R12</f>
        <v>8</v>
      </c>
      <c r="R26" s="6"/>
    </row>
    <row r="27" spans="1:18" x14ac:dyDescent="0.25">
      <c r="A27" s="38" t="s">
        <v>104</v>
      </c>
      <c r="B27" s="2">
        <v>0</v>
      </c>
      <c r="C27" s="6"/>
      <c r="E27" s="2">
        <v>0</v>
      </c>
      <c r="F27" s="6"/>
      <c r="H27" s="2">
        <v>0</v>
      </c>
      <c r="I27" s="6"/>
      <c r="K27" s="2">
        <v>0</v>
      </c>
      <c r="L27" s="6"/>
      <c r="N27" s="2">
        <v>0</v>
      </c>
      <c r="O27" s="6"/>
      <c r="Q27" s="2">
        <v>0</v>
      </c>
      <c r="R27" s="6"/>
    </row>
    <row r="28" spans="1:18" x14ac:dyDescent="0.25">
      <c r="A28" s="38" t="s">
        <v>105</v>
      </c>
      <c r="B28" s="3">
        <v>0</v>
      </c>
      <c r="C28" s="6"/>
      <c r="E28" s="3">
        <v>0</v>
      </c>
      <c r="F28" s="6"/>
      <c r="H28" s="3">
        <v>0</v>
      </c>
      <c r="I28" s="6"/>
      <c r="K28" s="3">
        <v>0</v>
      </c>
      <c r="L28" s="6"/>
      <c r="N28" s="3">
        <v>0</v>
      </c>
      <c r="O28" s="6"/>
      <c r="Q28" s="3">
        <v>0</v>
      </c>
      <c r="R28" s="6"/>
    </row>
    <row r="29" spans="1:18" x14ac:dyDescent="0.25">
      <c r="A29" t="s">
        <v>36</v>
      </c>
      <c r="B29" s="2">
        <f>SUM(B26:B28)</f>
        <v>8</v>
      </c>
      <c r="C29" s="15">
        <f>(B29/100)*C24</f>
        <v>9.0782608695652183</v>
      </c>
      <c r="E29" s="2">
        <f>SUM(E26:E28)</f>
        <v>8</v>
      </c>
      <c r="F29" s="15">
        <f>(E29/100)*F24</f>
        <v>9.0782608695652183</v>
      </c>
      <c r="H29" s="2">
        <f>SUM(H26:H28)</f>
        <v>8</v>
      </c>
      <c r="I29" s="15">
        <f>(H29/100)*I24</f>
        <v>9.0782608695652183</v>
      </c>
      <c r="K29" s="2">
        <f>SUM(K26:K28)</f>
        <v>8</v>
      </c>
      <c r="L29" s="15">
        <f>(K29/100)*L24</f>
        <v>9.0782608695652183</v>
      </c>
      <c r="N29" s="2">
        <f>SUM(N26:N28)</f>
        <v>8</v>
      </c>
      <c r="O29" s="15">
        <f>(N29/100)*O24</f>
        <v>9.0782608695652183</v>
      </c>
      <c r="Q29" s="2">
        <f>SUM(Q26:Q28)</f>
        <v>8</v>
      </c>
      <c r="R29" s="15">
        <f>(Q29/100)*R24</f>
        <v>9.0782608695652183</v>
      </c>
    </row>
    <row r="30" spans="1:18" x14ac:dyDescent="0.25">
      <c r="C30" s="6">
        <f>C24+C29</f>
        <v>122.55652173913043</v>
      </c>
      <c r="F30" s="6">
        <f>F24+F29</f>
        <v>122.55652173913043</v>
      </c>
      <c r="I30" s="6">
        <f>I24+I29</f>
        <v>122.55652173913043</v>
      </c>
      <c r="L30" s="6">
        <f>L24+L29</f>
        <v>122.55652173913043</v>
      </c>
      <c r="O30" s="6">
        <f>O24+O29</f>
        <v>122.55652173913043</v>
      </c>
      <c r="R30" s="6">
        <f>R24+R29</f>
        <v>122.55652173913043</v>
      </c>
    </row>
    <row r="31" spans="1:18" x14ac:dyDescent="0.25">
      <c r="A31" s="1" t="s">
        <v>65</v>
      </c>
      <c r="C31" s="6"/>
      <c r="F31" s="6"/>
      <c r="I31" s="6"/>
      <c r="L31" s="6"/>
      <c r="O31" s="6"/>
      <c r="R31" s="6"/>
    </row>
    <row r="32" spans="1:18" x14ac:dyDescent="0.25">
      <c r="A32" s="33" t="s">
        <v>98</v>
      </c>
      <c r="B32" s="5">
        <f>C14*stamgegevens!$D$40</f>
        <v>0</v>
      </c>
      <c r="C32" s="6"/>
      <c r="E32" s="5">
        <f>F14*stamgegevens!$D$40</f>
        <v>0</v>
      </c>
      <c r="F32" s="6"/>
      <c r="H32" s="5">
        <f>I14*stamgegevens!$D$40</f>
        <v>0</v>
      </c>
      <c r="I32" s="6"/>
      <c r="K32" s="5">
        <f>L14*stamgegevens!$D$40</f>
        <v>0</v>
      </c>
      <c r="L32" s="6"/>
      <c r="N32" s="5">
        <f>O14*stamgegevens!$D$40</f>
        <v>0</v>
      </c>
      <c r="O32" s="6"/>
      <c r="Q32" s="5">
        <f>R14*stamgegevens!$D$40</f>
        <v>0</v>
      </c>
      <c r="R32" s="6"/>
    </row>
    <row r="33" spans="1:18" x14ac:dyDescent="0.25">
      <c r="A33" s="25" t="s">
        <v>53</v>
      </c>
      <c r="B33" s="5">
        <v>0</v>
      </c>
      <c r="C33" s="6"/>
      <c r="E33" s="5">
        <v>0</v>
      </c>
      <c r="F33" s="6"/>
      <c r="H33" s="5">
        <v>0</v>
      </c>
      <c r="I33" s="6"/>
      <c r="K33" s="5">
        <v>0</v>
      </c>
      <c r="L33" s="6"/>
      <c r="N33" s="5">
        <v>0</v>
      </c>
      <c r="O33" s="6"/>
      <c r="Q33" s="5">
        <v>0</v>
      </c>
      <c r="R33" s="6"/>
    </row>
    <row r="34" spans="1:18" x14ac:dyDescent="0.25">
      <c r="A34" s="25" t="s">
        <v>53</v>
      </c>
      <c r="B34" s="12">
        <v>0</v>
      </c>
      <c r="C34" s="6"/>
      <c r="E34" s="12">
        <v>0</v>
      </c>
      <c r="F34" s="6"/>
      <c r="H34" s="12">
        <v>0</v>
      </c>
      <c r="I34" s="6"/>
      <c r="K34" s="12">
        <v>0</v>
      </c>
      <c r="L34" s="6"/>
      <c r="N34" s="12">
        <v>0</v>
      </c>
      <c r="O34" s="6"/>
      <c r="Q34" s="12">
        <v>0</v>
      </c>
      <c r="R34" s="6"/>
    </row>
    <row r="35" spans="1:18" x14ac:dyDescent="0.25">
      <c r="A35" s="1"/>
      <c r="B35" s="2">
        <f>SUM(B31:B34)</f>
        <v>0</v>
      </c>
      <c r="C35" s="15">
        <f>(B35/100)*C30</f>
        <v>0</v>
      </c>
      <c r="E35" s="2">
        <f>SUM(E31:E34)</f>
        <v>0</v>
      </c>
      <c r="F35" s="15">
        <f>(E35/100)*F30</f>
        <v>0</v>
      </c>
      <c r="H35" s="2">
        <f>SUM(H31:H34)</f>
        <v>0</v>
      </c>
      <c r="I35" s="15">
        <f>(H35/100)*I30</f>
        <v>0</v>
      </c>
      <c r="K35" s="2">
        <f>SUM(K31:K34)</f>
        <v>0</v>
      </c>
      <c r="L35" s="15">
        <f>(K35/100)*L30</f>
        <v>0</v>
      </c>
      <c r="N35" s="2">
        <f>SUM(N31:N34)</f>
        <v>0</v>
      </c>
      <c r="O35" s="15">
        <f>(N35/100)*O30</f>
        <v>0</v>
      </c>
      <c r="Q35" s="2">
        <f>SUM(Q31:Q34)</f>
        <v>0</v>
      </c>
      <c r="R35" s="15">
        <f>(Q35/100)*R30</f>
        <v>0</v>
      </c>
    </row>
    <row r="36" spans="1:18" x14ac:dyDescent="0.25">
      <c r="C36" s="6">
        <f>C30+C35</f>
        <v>122.55652173913043</v>
      </c>
      <c r="F36" s="6">
        <f>F30+F35</f>
        <v>122.55652173913043</v>
      </c>
      <c r="I36" s="6">
        <f>I30+I35</f>
        <v>122.55652173913043</v>
      </c>
      <c r="L36" s="6">
        <f>L30+L35</f>
        <v>122.55652173913043</v>
      </c>
      <c r="O36" s="6">
        <f>O30+O35</f>
        <v>122.55652173913043</v>
      </c>
      <c r="R36" s="6">
        <f>R30+R35</f>
        <v>122.55652173913043</v>
      </c>
    </row>
    <row r="37" spans="1:18" x14ac:dyDescent="0.25">
      <c r="A37" s="1" t="s">
        <v>16</v>
      </c>
      <c r="C37" s="6"/>
      <c r="F37" s="6"/>
      <c r="I37" s="6"/>
      <c r="L37" s="6"/>
      <c r="O37" s="6"/>
      <c r="R37" s="6"/>
    </row>
    <row r="38" spans="1:18" x14ac:dyDescent="0.25">
      <c r="A38" t="s">
        <v>3</v>
      </c>
      <c r="B38" s="19">
        <f>stamgegevens!$C$25</f>
        <v>1.9</v>
      </c>
      <c r="C38" s="6"/>
      <c r="E38" s="19">
        <v>0</v>
      </c>
      <c r="F38" s="6"/>
      <c r="H38" s="19">
        <f>stamgegevens!$C$25</f>
        <v>1.9</v>
      </c>
      <c r="I38" s="6"/>
      <c r="K38" s="19">
        <f>stamgegevens!$C$26</f>
        <v>3.26</v>
      </c>
      <c r="L38" s="6"/>
      <c r="N38" s="19">
        <v>0</v>
      </c>
      <c r="O38" s="6"/>
      <c r="Q38" s="19">
        <f>stamgegevens!$C$26</f>
        <v>3.26</v>
      </c>
      <c r="R38" s="6"/>
    </row>
    <row r="39" spans="1:18" x14ac:dyDescent="0.25">
      <c r="A39" t="s">
        <v>9</v>
      </c>
      <c r="B39" s="19">
        <f>stamgegevens!$C$27</f>
        <v>6.1</v>
      </c>
      <c r="C39" s="6"/>
      <c r="E39" s="19">
        <f>stamgegevens!$C$27</f>
        <v>6.1</v>
      </c>
      <c r="F39" s="6"/>
      <c r="H39" s="19">
        <f>stamgegevens!$C$27</f>
        <v>6.1</v>
      </c>
      <c r="I39" s="6"/>
      <c r="K39" s="19">
        <f>stamgegevens!$C$27</f>
        <v>6.1</v>
      </c>
      <c r="L39" s="6"/>
      <c r="N39" s="19">
        <f>stamgegevens!$C$27</f>
        <v>6.1</v>
      </c>
      <c r="O39" s="6"/>
      <c r="Q39" s="19">
        <f>stamgegevens!$C$27</f>
        <v>6.1</v>
      </c>
      <c r="R39" s="6"/>
    </row>
    <row r="40" spans="1:18" x14ac:dyDescent="0.25">
      <c r="A40" t="s">
        <v>40</v>
      </c>
      <c r="B40" s="19">
        <f>stamgegevens!$C$28</f>
        <v>1.34</v>
      </c>
      <c r="C40" s="6"/>
      <c r="E40" s="19">
        <f>stamgegevens!$C$28</f>
        <v>1.34</v>
      </c>
      <c r="F40" s="6"/>
      <c r="H40" s="19">
        <f>stamgegevens!$C$28</f>
        <v>1.34</v>
      </c>
      <c r="I40" s="6"/>
      <c r="K40" s="19">
        <f>stamgegevens!$C$28</f>
        <v>1.34</v>
      </c>
      <c r="L40" s="6"/>
      <c r="N40" s="19">
        <f>stamgegevens!$C$28</f>
        <v>1.34</v>
      </c>
      <c r="O40" s="6"/>
      <c r="Q40" s="19">
        <f>stamgegevens!$C$28</f>
        <v>1.34</v>
      </c>
      <c r="R40" s="6"/>
    </row>
    <row r="41" spans="1:18" x14ac:dyDescent="0.25">
      <c r="A41" t="str">
        <f>IF(C24="ERD","Gedifferentieerde premie WhK (ZW-Flex) ERD","Gedifferentieerde premie WhK (ZW-Flex)")</f>
        <v>Gedifferentieerde premie WhK (ZW-Flex)</v>
      </c>
      <c r="B41" s="19">
        <f>stamgegevens!$C$29</f>
        <v>3.71</v>
      </c>
      <c r="C41" s="6"/>
      <c r="E41" s="19">
        <f>stamgegevens!$C$29</f>
        <v>3.71</v>
      </c>
      <c r="F41" s="6"/>
      <c r="H41" s="19">
        <f>stamgegevens!$C$29</f>
        <v>3.71</v>
      </c>
      <c r="I41" s="6"/>
      <c r="K41" s="19">
        <f>stamgegevens!$C$29</f>
        <v>3.71</v>
      </c>
      <c r="L41" s="6"/>
      <c r="N41" s="19">
        <f>stamgegevens!$C$29</f>
        <v>3.71</v>
      </c>
      <c r="O41" s="6"/>
      <c r="Q41" s="19">
        <f>stamgegevens!$C$29</f>
        <v>3.71</v>
      </c>
      <c r="R41" s="6"/>
    </row>
    <row r="42" spans="1:18" x14ac:dyDescent="0.25">
      <c r="A42" t="s">
        <v>10</v>
      </c>
      <c r="B42" s="19">
        <f>stamgegevens!$C$30</f>
        <v>7.74</v>
      </c>
      <c r="C42" s="6"/>
      <c r="E42" s="19">
        <f>stamgegevens!$C$30</f>
        <v>7.74</v>
      </c>
      <c r="F42" s="6"/>
      <c r="H42" s="19">
        <f>stamgegevens!$C$30</f>
        <v>7.74</v>
      </c>
      <c r="I42" s="6"/>
      <c r="K42" s="19">
        <f>stamgegevens!$C$30</f>
        <v>7.74</v>
      </c>
      <c r="L42" s="6"/>
      <c r="N42" s="19">
        <f>stamgegevens!$C$30</f>
        <v>7.74</v>
      </c>
      <c r="O42" s="6"/>
      <c r="Q42" s="19">
        <f>stamgegevens!$C$30</f>
        <v>7.74</v>
      </c>
      <c r="R42" s="6"/>
    </row>
    <row r="43" spans="1:18" x14ac:dyDescent="0.25">
      <c r="A43" t="s">
        <v>33</v>
      </c>
      <c r="B43" s="19">
        <f>stamgegevens!$C$31</f>
        <v>6.26</v>
      </c>
      <c r="C43" s="6"/>
      <c r="E43" s="19">
        <f>stamgegevens!$C$31</f>
        <v>6.26</v>
      </c>
      <c r="F43" s="6"/>
      <c r="H43" s="19">
        <f>stamgegevens!$C$31</f>
        <v>6.26</v>
      </c>
      <c r="I43" s="6"/>
      <c r="K43" s="19">
        <f>stamgegevens!$C$31</f>
        <v>6.26</v>
      </c>
      <c r="L43" s="6"/>
      <c r="N43" s="19">
        <f>stamgegevens!$C$31</f>
        <v>6.26</v>
      </c>
      <c r="O43" s="6"/>
      <c r="Q43" s="19">
        <f>stamgegevens!$C$31</f>
        <v>6.26</v>
      </c>
      <c r="R43" s="6"/>
    </row>
    <row r="44" spans="1:18" x14ac:dyDescent="0.25">
      <c r="A44" t="s">
        <v>58</v>
      </c>
      <c r="B44" s="19">
        <f>stamgegevens!$C$32</f>
        <v>0.5</v>
      </c>
      <c r="C44" s="6"/>
      <c r="E44" s="19">
        <f>stamgegevens!$C$32</f>
        <v>0.5</v>
      </c>
      <c r="F44" s="6"/>
      <c r="H44" s="19">
        <f>stamgegevens!$C$32</f>
        <v>0.5</v>
      </c>
      <c r="I44" s="6"/>
      <c r="K44" s="19">
        <f>stamgegevens!$C$32</f>
        <v>0.5</v>
      </c>
      <c r="L44" s="6"/>
      <c r="N44" s="19">
        <f>stamgegevens!$C$32</f>
        <v>0.5</v>
      </c>
      <c r="O44" s="6"/>
      <c r="Q44" s="19">
        <f>stamgegevens!$C$32</f>
        <v>0.5</v>
      </c>
      <c r="R44" s="6"/>
    </row>
    <row r="45" spans="1:18" x14ac:dyDescent="0.25">
      <c r="A45" t="s">
        <v>13</v>
      </c>
      <c r="B45" s="20">
        <f>stamgegevens!$C$33</f>
        <v>0.1</v>
      </c>
      <c r="C45" s="6"/>
      <c r="E45" s="20">
        <f>stamgegevens!$C$33</f>
        <v>0.1</v>
      </c>
      <c r="F45" s="6"/>
      <c r="H45" s="20">
        <f>stamgegevens!$C$33</f>
        <v>0.1</v>
      </c>
      <c r="I45" s="6"/>
      <c r="K45" s="20">
        <f>stamgegevens!$C$33</f>
        <v>0.1</v>
      </c>
      <c r="L45" s="6"/>
      <c r="N45" s="20">
        <f>stamgegevens!$C$33</f>
        <v>0.1</v>
      </c>
      <c r="O45" s="6"/>
      <c r="Q45" s="20">
        <f>stamgegevens!$C$33</f>
        <v>0.1</v>
      </c>
      <c r="R45" s="6"/>
    </row>
    <row r="46" spans="1:18" x14ac:dyDescent="0.25">
      <c r="A46" t="s">
        <v>36</v>
      </c>
      <c r="B46" s="19">
        <f>SUM(B38:B45)</f>
        <v>27.65</v>
      </c>
      <c r="C46" s="15">
        <f>(B46/100)*C36</f>
        <v>33.886878260869558</v>
      </c>
      <c r="E46" s="19">
        <f>SUM(E38:E45)</f>
        <v>25.75</v>
      </c>
      <c r="F46" s="15">
        <f>(E46/100)*F36</f>
        <v>31.558304347826088</v>
      </c>
      <c r="H46" s="19">
        <f>SUM(H38:H45)</f>
        <v>27.65</v>
      </c>
      <c r="I46" s="15">
        <f>(H46/100)*I36</f>
        <v>33.886878260869558</v>
      </c>
      <c r="K46" s="19">
        <f>SUM(K38:K45)</f>
        <v>29.009999999999998</v>
      </c>
      <c r="L46" s="15">
        <f>(K46/100)*L36</f>
        <v>35.553646956521732</v>
      </c>
      <c r="N46" s="19">
        <f>SUM(N38:N45)</f>
        <v>25.75</v>
      </c>
      <c r="O46" s="15">
        <f>(N46/100)*O36</f>
        <v>31.558304347826088</v>
      </c>
      <c r="Q46" s="19">
        <f>SUM(Q38:Q45)</f>
        <v>29.009999999999998</v>
      </c>
      <c r="R46" s="15">
        <f>(Q46/100)*R36</f>
        <v>35.553646956521732</v>
      </c>
    </row>
    <row r="47" spans="1:18" x14ac:dyDescent="0.25">
      <c r="C47" s="6">
        <f>C36+C46</f>
        <v>156.4434</v>
      </c>
      <c r="F47" s="6">
        <f>F36+F46</f>
        <v>154.11482608695653</v>
      </c>
      <c r="I47" s="6">
        <f>I36+I46</f>
        <v>156.4434</v>
      </c>
      <c r="L47" s="6">
        <f>L36+L46</f>
        <v>158.11016869565216</v>
      </c>
      <c r="O47" s="6">
        <f>O36+O46</f>
        <v>154.11482608695653</v>
      </c>
      <c r="R47" s="6">
        <f>R36+R46</f>
        <v>158.11016869565216</v>
      </c>
    </row>
    <row r="48" spans="1:18" x14ac:dyDescent="0.25">
      <c r="A48" s="1" t="s">
        <v>86</v>
      </c>
      <c r="B48" s="3">
        <f>B74*100</f>
        <v>10.239600000000001</v>
      </c>
      <c r="C48" s="6"/>
      <c r="E48" s="3">
        <f>E74*100</f>
        <v>10.239600000000001</v>
      </c>
      <c r="F48" s="6"/>
      <c r="H48" s="3">
        <f>H74*100</f>
        <v>10.239600000000001</v>
      </c>
      <c r="I48" s="6"/>
      <c r="K48" s="3">
        <f>K74*100</f>
        <v>10.239600000000001</v>
      </c>
      <c r="L48" s="6"/>
      <c r="N48" s="3">
        <f>N74*100</f>
        <v>10.239600000000001</v>
      </c>
      <c r="O48" s="6"/>
      <c r="Q48" s="3">
        <f>Q74*100</f>
        <v>10.239600000000001</v>
      </c>
      <c r="R48" s="6"/>
    </row>
    <row r="49" spans="1:18" x14ac:dyDescent="0.25">
      <c r="A49" t="s">
        <v>36</v>
      </c>
      <c r="B49" s="2">
        <f>SUM(B48)</f>
        <v>10.239600000000001</v>
      </c>
      <c r="C49" s="15">
        <f>(B49/100)*C30</f>
        <v>12.549297600000001</v>
      </c>
      <c r="E49" s="2">
        <f>SUM(E48)</f>
        <v>10.239600000000001</v>
      </c>
      <c r="F49" s="15">
        <f>(E49/100)*F30</f>
        <v>12.549297600000001</v>
      </c>
      <c r="H49" s="2">
        <f>SUM(H48)</f>
        <v>10.239600000000001</v>
      </c>
      <c r="I49" s="15">
        <f>(H49/100)*I30</f>
        <v>12.549297600000001</v>
      </c>
      <c r="K49" s="2">
        <f>SUM(K48)</f>
        <v>10.239600000000001</v>
      </c>
      <c r="L49" s="15">
        <f>(K49/100)*L30</f>
        <v>12.549297600000001</v>
      </c>
      <c r="N49" s="2">
        <f>SUM(N48)</f>
        <v>10.239600000000001</v>
      </c>
      <c r="O49" s="15">
        <f>(N49/100)*O30</f>
        <v>12.549297600000001</v>
      </c>
      <c r="Q49" s="2">
        <f>SUM(Q48)</f>
        <v>10.239600000000001</v>
      </c>
      <c r="R49" s="15">
        <f>(Q49/100)*R30</f>
        <v>12.549297600000001</v>
      </c>
    </row>
    <row r="50" spans="1:18" x14ac:dyDescent="0.25">
      <c r="C50" s="6">
        <f>C47+C49</f>
        <v>168.99269759999999</v>
      </c>
      <c r="F50" s="6">
        <f>F47+F49</f>
        <v>166.66412368695651</v>
      </c>
      <c r="I50" s="6">
        <f>I47+I49</f>
        <v>168.99269759999999</v>
      </c>
      <c r="L50" s="6">
        <f>L47+L49</f>
        <v>170.65946629565215</v>
      </c>
      <c r="O50" s="6">
        <f>O47+O49</f>
        <v>166.66412368695651</v>
      </c>
      <c r="R50" s="6">
        <f>R47+R49</f>
        <v>170.65946629565215</v>
      </c>
    </row>
    <row r="51" spans="1:18" x14ac:dyDescent="0.25">
      <c r="A51" s="1" t="s">
        <v>45</v>
      </c>
      <c r="C51" s="6"/>
      <c r="F51" s="6"/>
      <c r="I51" s="6"/>
      <c r="L51" s="6"/>
      <c r="O51" s="6"/>
      <c r="R51" s="6"/>
    </row>
    <row r="52" spans="1:18" x14ac:dyDescent="0.25">
      <c r="A52" t="str">
        <f>stamgegevens!F19</f>
        <v>Duurzame inzetbaarheid</v>
      </c>
      <c r="B52" s="2">
        <f>stamgegevens!$G$19</f>
        <v>0</v>
      </c>
      <c r="C52" s="6"/>
      <c r="E52" s="2">
        <f>stamgegevens!$H$19</f>
        <v>0</v>
      </c>
      <c r="F52" s="6"/>
      <c r="H52" s="2">
        <f>stamgegevens!$I$19</f>
        <v>0</v>
      </c>
      <c r="I52" s="6"/>
      <c r="K52" s="2">
        <f>stamgegevens!$J$19</f>
        <v>0</v>
      </c>
      <c r="L52" s="6"/>
      <c r="N52" s="2">
        <f>stamgegevens!$K$19</f>
        <v>0</v>
      </c>
      <c r="O52" s="6"/>
      <c r="Q52" s="2">
        <f>stamgegevens!$L$19</f>
        <v>0</v>
      </c>
      <c r="R52" s="6"/>
    </row>
    <row r="53" spans="1:18" x14ac:dyDescent="0.25">
      <c r="A53" t="str">
        <f>stamgegevens!F20</f>
        <v>Sociaal Fonds</v>
      </c>
      <c r="B53" s="2">
        <f>stamgegevens!$G$20</f>
        <v>0.2</v>
      </c>
      <c r="C53" s="6"/>
      <c r="E53" s="2">
        <f>stamgegevens!$H$20</f>
        <v>0</v>
      </c>
      <c r="F53" s="6"/>
      <c r="H53" s="2">
        <f>stamgegevens!$I$20</f>
        <v>0.2</v>
      </c>
      <c r="I53" s="6"/>
      <c r="K53" s="2">
        <f>stamgegevens!$J$20</f>
        <v>0.2</v>
      </c>
      <c r="L53" s="6"/>
      <c r="N53" s="2">
        <f>stamgegevens!$K$20</f>
        <v>0</v>
      </c>
      <c r="O53" s="6"/>
      <c r="Q53" s="2">
        <f>stamgegevens!$L$20</f>
        <v>0.2</v>
      </c>
      <c r="R53" s="6"/>
    </row>
    <row r="54" spans="1:18" x14ac:dyDescent="0.25">
      <c r="A54" s="38" t="str">
        <f>stamgegevens!F21</f>
        <v>Arbeidsongeschiktheid</v>
      </c>
      <c r="B54" s="2">
        <v>0</v>
      </c>
      <c r="C54" s="6"/>
      <c r="E54" s="2">
        <v>0</v>
      </c>
      <c r="F54" s="6"/>
      <c r="H54" s="2">
        <v>0</v>
      </c>
      <c r="I54" s="6"/>
      <c r="K54" s="2">
        <v>0</v>
      </c>
      <c r="L54" s="6"/>
      <c r="N54" s="2">
        <v>0</v>
      </c>
      <c r="O54" s="6"/>
      <c r="Q54" s="2">
        <v>0</v>
      </c>
      <c r="R54" s="6"/>
    </row>
    <row r="55" spans="1:18" x14ac:dyDescent="0.25">
      <c r="A55" s="38" t="str">
        <f>stamgegevens!F22</f>
        <v>Contractverplichting/leegloop</v>
      </c>
      <c r="B55" s="2">
        <v>0</v>
      </c>
      <c r="C55" s="6"/>
      <c r="E55" s="2">
        <v>0</v>
      </c>
      <c r="F55" s="6"/>
      <c r="H55" s="2">
        <v>0</v>
      </c>
      <c r="I55" s="6"/>
      <c r="K55" s="2">
        <v>0</v>
      </c>
      <c r="L55" s="6"/>
      <c r="N55" s="2">
        <v>0</v>
      </c>
      <c r="O55" s="6"/>
      <c r="Q55" s="2">
        <v>0</v>
      </c>
      <c r="R55" s="6"/>
    </row>
    <row r="56" spans="1:18" x14ac:dyDescent="0.25">
      <c r="A56" t="str">
        <f>stamgegevens!F23</f>
        <v>Reservering KV/FD contracten</v>
      </c>
      <c r="B56" s="2">
        <f>stamgegevens!$G$23</f>
        <v>0.6</v>
      </c>
      <c r="C56" s="6"/>
      <c r="E56" s="2">
        <v>0.6</v>
      </c>
      <c r="F56" s="6"/>
      <c r="H56" s="2">
        <v>0.6</v>
      </c>
      <c r="I56" s="6"/>
      <c r="K56" s="2">
        <f>stamgegevens!$J$23</f>
        <v>0.6</v>
      </c>
      <c r="L56" s="6"/>
      <c r="N56" s="2">
        <v>0.6</v>
      </c>
      <c r="O56" s="6"/>
      <c r="Q56" s="2">
        <v>0.6</v>
      </c>
      <c r="R56" s="6"/>
    </row>
    <row r="57" spans="1:18" x14ac:dyDescent="0.25">
      <c r="A57" s="38" t="str">
        <f>stamgegevens!F24</f>
        <v>Transitievergoeding</v>
      </c>
      <c r="B57" s="2">
        <f>stamgegevens!$G$24</f>
        <v>0</v>
      </c>
      <c r="C57" s="6"/>
      <c r="E57" s="2">
        <f>stamgegevens!$H$24</f>
        <v>0</v>
      </c>
      <c r="F57" s="6"/>
      <c r="H57" s="2">
        <f>stamgegevens!$I$24</f>
        <v>0</v>
      </c>
      <c r="I57" s="6"/>
      <c r="K57" s="2">
        <f>stamgegevens!$J$24</f>
        <v>0</v>
      </c>
      <c r="L57" s="6"/>
      <c r="N57" s="2">
        <f>stamgegevens!$K$24</f>
        <v>0</v>
      </c>
      <c r="O57" s="6"/>
      <c r="Q57" s="2">
        <f>stamgegevens!$L$24</f>
        <v>0</v>
      </c>
      <c r="R57" s="6"/>
    </row>
    <row r="58" spans="1:18" x14ac:dyDescent="0.25">
      <c r="A58" t="str">
        <f>stamgegevens!F25</f>
        <v>Organisatiekosten</v>
      </c>
      <c r="B58" s="2">
        <f>stamgegevens!$G$25</f>
        <v>0</v>
      </c>
      <c r="C58" s="6"/>
      <c r="E58" s="2">
        <f>stamgegevens!$H$25</f>
        <v>0</v>
      </c>
      <c r="F58" s="6"/>
      <c r="H58" s="2">
        <f>stamgegevens!$I$25</f>
        <v>0</v>
      </c>
      <c r="I58" s="6"/>
      <c r="K58" s="2">
        <f>stamgegevens!$J$25</f>
        <v>0</v>
      </c>
      <c r="L58" s="6"/>
      <c r="N58" s="2">
        <f>stamgegevens!$K$25</f>
        <v>0</v>
      </c>
      <c r="O58" s="6"/>
      <c r="Q58" s="2">
        <f>stamgegevens!$L$25</f>
        <v>0</v>
      </c>
      <c r="R58" s="6"/>
    </row>
    <row r="59" spans="1:18" x14ac:dyDescent="0.25">
      <c r="A59" s="38" t="s">
        <v>106</v>
      </c>
      <c r="B59" s="2">
        <v>0</v>
      </c>
      <c r="C59" s="6"/>
      <c r="E59" s="2">
        <v>0</v>
      </c>
      <c r="F59" s="6"/>
      <c r="H59" s="2">
        <v>0</v>
      </c>
      <c r="I59" s="6"/>
      <c r="K59" s="2">
        <v>0</v>
      </c>
      <c r="L59" s="6"/>
      <c r="N59" s="2">
        <v>0</v>
      </c>
      <c r="O59" s="6"/>
      <c r="Q59" s="2">
        <v>0</v>
      </c>
      <c r="R59" s="6"/>
    </row>
    <row r="60" spans="1:18" x14ac:dyDescent="0.25">
      <c r="A60" s="38" t="s">
        <v>107</v>
      </c>
      <c r="B60" s="2">
        <f>stamgegevens!$G$27</f>
        <v>0</v>
      </c>
      <c r="C60" s="6"/>
      <c r="E60" s="2">
        <f>stamgegevens!$H$27</f>
        <v>0</v>
      </c>
      <c r="F60" s="6"/>
      <c r="H60" s="2">
        <f>stamgegevens!$I$27</f>
        <v>0</v>
      </c>
      <c r="I60" s="6"/>
      <c r="K60" s="2">
        <f>stamgegevens!$J$27</f>
        <v>0</v>
      </c>
      <c r="L60" s="6"/>
      <c r="N60" s="2">
        <f>stamgegevens!$K$27</f>
        <v>0</v>
      </c>
      <c r="O60" s="6"/>
      <c r="Q60" s="2">
        <f>stamgegevens!$L$27</f>
        <v>0</v>
      </c>
      <c r="R60" s="6"/>
    </row>
    <row r="61" spans="1:18" x14ac:dyDescent="0.25">
      <c r="A61" s="38" t="s">
        <v>108</v>
      </c>
      <c r="B61" s="2">
        <f>stamgegevens!$G$28</f>
        <v>0</v>
      </c>
      <c r="C61" s="6"/>
      <c r="E61" s="2">
        <f>stamgegevens!$H$28</f>
        <v>0</v>
      </c>
      <c r="F61" s="6"/>
      <c r="H61" s="2">
        <f>stamgegevens!$I$28</f>
        <v>0</v>
      </c>
      <c r="I61" s="6"/>
      <c r="K61" s="2">
        <f>stamgegevens!$J$28</f>
        <v>0</v>
      </c>
      <c r="L61" s="6"/>
      <c r="N61" s="2">
        <f>stamgegevens!$K$28</f>
        <v>0</v>
      </c>
      <c r="O61" s="6"/>
      <c r="Q61" s="2">
        <f>stamgegevens!$L$28</f>
        <v>0</v>
      </c>
      <c r="R61" s="6"/>
    </row>
    <row r="62" spans="1:18" x14ac:dyDescent="0.25">
      <c r="A62" t="str">
        <f>stamgegevens!F29</f>
        <v>Overige opslagen 4</v>
      </c>
      <c r="B62" s="2">
        <f>stamgegevens!$G$29</f>
        <v>0</v>
      </c>
      <c r="C62" s="6"/>
      <c r="E62" s="2">
        <f>stamgegevens!$H$29</f>
        <v>0</v>
      </c>
      <c r="F62" s="6"/>
      <c r="H62" s="2">
        <f>stamgegevens!$I$29</f>
        <v>0</v>
      </c>
      <c r="I62" s="6"/>
      <c r="K62" s="2">
        <f>stamgegevens!$J$29</f>
        <v>0</v>
      </c>
      <c r="L62" s="6"/>
      <c r="N62" s="2">
        <f>stamgegevens!$K$29</f>
        <v>0</v>
      </c>
      <c r="O62" s="6"/>
      <c r="Q62" s="2">
        <f>stamgegevens!$L$29</f>
        <v>0</v>
      </c>
      <c r="R62" s="6"/>
    </row>
    <row r="63" spans="1:18" x14ac:dyDescent="0.25">
      <c r="A63" t="s">
        <v>36</v>
      </c>
      <c r="B63" s="18">
        <f>SUM(B52:B62)</f>
        <v>0.8</v>
      </c>
      <c r="C63" s="15">
        <f>(B63/100)*C30</f>
        <v>0.98045217391304351</v>
      </c>
      <c r="E63" s="18">
        <f>SUM(E52:E62)</f>
        <v>0.6</v>
      </c>
      <c r="F63" s="15">
        <f>(E63/100)*F30</f>
        <v>0.73533913043478261</v>
      </c>
      <c r="H63" s="18">
        <f>SUM(H52:H62)</f>
        <v>0.8</v>
      </c>
      <c r="I63" s="15">
        <f>(H63/100)*I30</f>
        <v>0.98045217391304351</v>
      </c>
      <c r="K63" s="18">
        <f>SUM(K52:K62)</f>
        <v>0.8</v>
      </c>
      <c r="L63" s="15">
        <f>(K63/100)*L30</f>
        <v>0.98045217391304351</v>
      </c>
      <c r="N63" s="18">
        <f>SUM(N52:N62)</f>
        <v>0.6</v>
      </c>
      <c r="O63" s="15">
        <f>(N63/100)*O30</f>
        <v>0.73533913043478261</v>
      </c>
      <c r="Q63" s="18">
        <f>SUM(Q52:Q62)</f>
        <v>0.8</v>
      </c>
      <c r="R63" s="15">
        <f>(Q63/100)*R30</f>
        <v>0.98045217391304351</v>
      </c>
    </row>
    <row r="64" spans="1:18" x14ac:dyDescent="0.25">
      <c r="C64" s="6">
        <f>C50+C63</f>
        <v>169.97314977391304</v>
      </c>
      <c r="F64" s="6">
        <f>F50+F63</f>
        <v>167.39946281739131</v>
      </c>
      <c r="I64" s="6">
        <f>I50+I63</f>
        <v>169.97314977391304</v>
      </c>
      <c r="L64" s="6">
        <f>L50+L63</f>
        <v>171.6399184695652</v>
      </c>
      <c r="O64" s="6">
        <f>O50+O63</f>
        <v>167.39946281739131</v>
      </c>
      <c r="R64" s="6">
        <f>R50+R63</f>
        <v>171.6399184695652</v>
      </c>
    </row>
    <row r="65" spans="1:18" x14ac:dyDescent="0.25">
      <c r="C65" s="4"/>
      <c r="F65" s="4"/>
      <c r="I65" s="4"/>
      <c r="L65" s="4"/>
      <c r="O65" s="4"/>
      <c r="R65" s="4"/>
    </row>
    <row r="66" spans="1:18" ht="15.75" thickBot="1" x14ac:dyDescent="0.3">
      <c r="A66" s="1" t="s">
        <v>46</v>
      </c>
      <c r="C66" s="17">
        <f>C64/100</f>
        <v>1.6997314977391305</v>
      </c>
      <c r="F66" s="17">
        <f>F64/100</f>
        <v>1.6739946281739131</v>
      </c>
      <c r="I66" s="17">
        <f>I64/100</f>
        <v>1.6997314977391305</v>
      </c>
      <c r="L66" s="17">
        <f>L64/100</f>
        <v>1.7163991846956521</v>
      </c>
      <c r="O66" s="17">
        <f>O64/100</f>
        <v>1.6739946281739131</v>
      </c>
      <c r="R66" s="17">
        <f>R64/100</f>
        <v>1.7163991846956521</v>
      </c>
    </row>
    <row r="67" spans="1:18" ht="15.75" thickTop="1" x14ac:dyDescent="0.25"/>
    <row r="69" spans="1:18" x14ac:dyDescent="0.25">
      <c r="A69" s="1" t="s">
        <v>50</v>
      </c>
    </row>
    <row r="70" spans="1:18" x14ac:dyDescent="0.25">
      <c r="A70" t="s">
        <v>41</v>
      </c>
      <c r="B70" s="5">
        <f>stamgegevens!$D$38</f>
        <v>25</v>
      </c>
      <c r="E70" s="5">
        <f>stamgegevens!$D$38</f>
        <v>25</v>
      </c>
      <c r="H70" s="5">
        <f>stamgegevens!$D$38</f>
        <v>25</v>
      </c>
      <c r="K70" s="5">
        <f>stamgegevens!$D$38</f>
        <v>25</v>
      </c>
      <c r="N70" s="5">
        <f>stamgegevens!$D$38</f>
        <v>25</v>
      </c>
      <c r="Q70" s="5">
        <f>stamgegevens!$D$38</f>
        <v>25</v>
      </c>
    </row>
    <row r="71" spans="1:18" x14ac:dyDescent="0.25">
      <c r="A71" t="s">
        <v>15</v>
      </c>
      <c r="B71" s="12">
        <f>stamgegevens!$D$39</f>
        <v>8.9</v>
      </c>
      <c r="E71" s="12">
        <f>stamgegevens!$D$39</f>
        <v>8.9</v>
      </c>
      <c r="H71" s="12">
        <f>stamgegevens!$D$39</f>
        <v>8.9</v>
      </c>
      <c r="K71" s="12">
        <f>stamgegevens!$D$39</f>
        <v>8.9</v>
      </c>
      <c r="N71" s="12">
        <f>stamgegevens!$D$39</f>
        <v>8.9</v>
      </c>
      <c r="Q71" s="12">
        <f>stamgegevens!$D$39</f>
        <v>8.9</v>
      </c>
    </row>
    <row r="72" spans="1:18" x14ac:dyDescent="0.25">
      <c r="A72" t="s">
        <v>42</v>
      </c>
      <c r="B72" s="5">
        <f>B70-B71</f>
        <v>16.100000000000001</v>
      </c>
      <c r="E72" s="5">
        <f>E70-E71</f>
        <v>16.100000000000001</v>
      </c>
      <c r="H72" s="5">
        <f>H70-H71</f>
        <v>16.100000000000001</v>
      </c>
      <c r="K72" s="5">
        <f>K70-K71</f>
        <v>16.100000000000001</v>
      </c>
      <c r="N72" s="5">
        <f>N70-N71</f>
        <v>16.100000000000001</v>
      </c>
      <c r="Q72" s="5">
        <f>Q70-Q71</f>
        <v>16.100000000000001</v>
      </c>
    </row>
    <row r="73" spans="1:18" x14ac:dyDescent="0.25">
      <c r="A73" t="s">
        <v>43</v>
      </c>
      <c r="B73" s="5">
        <f>B72*stamgegevens!$C$37/100</f>
        <v>2.5599000000000003</v>
      </c>
      <c r="E73" s="5">
        <f>E72*stamgegevens!$C$37/100</f>
        <v>2.5599000000000003</v>
      </c>
      <c r="H73" s="5">
        <f>H72*stamgegevens!$C$37/100</f>
        <v>2.5599000000000003</v>
      </c>
      <c r="K73" s="5">
        <f>K72*stamgegevens!$C$37/100</f>
        <v>2.5599000000000003</v>
      </c>
      <c r="N73" s="5">
        <f>N72*stamgegevens!$C$37/100</f>
        <v>2.5599000000000003</v>
      </c>
      <c r="Q73" s="5">
        <f>Q72*stamgegevens!$C$37/100</f>
        <v>2.5599000000000003</v>
      </c>
    </row>
    <row r="74" spans="1:18" x14ac:dyDescent="0.25">
      <c r="A74" t="s">
        <v>44</v>
      </c>
      <c r="B74" s="14">
        <f>B73/B70</f>
        <v>0.10239600000000001</v>
      </c>
      <c r="E74" s="14">
        <f>E73/E70</f>
        <v>0.10239600000000001</v>
      </c>
      <c r="H74" s="14">
        <f>H73/H70</f>
        <v>0.10239600000000001</v>
      </c>
      <c r="K74" s="14">
        <f>K73/K70</f>
        <v>0.10239600000000001</v>
      </c>
      <c r="N74" s="14">
        <f>N73/N70</f>
        <v>0.10239600000000001</v>
      </c>
      <c r="Q74" s="14">
        <f>Q73/Q70</f>
        <v>0.10239600000000001</v>
      </c>
    </row>
  </sheetData>
  <mergeCells count="12">
    <mergeCell ref="B1:C1"/>
    <mergeCell ref="B2:C2"/>
    <mergeCell ref="E1:F1"/>
    <mergeCell ref="E2:F2"/>
    <mergeCell ref="H1:I1"/>
    <mergeCell ref="H2:I2"/>
    <mergeCell ref="K1:L1"/>
    <mergeCell ref="N1:O1"/>
    <mergeCell ref="Q1:R1"/>
    <mergeCell ref="K2:L2"/>
    <mergeCell ref="N2:O2"/>
    <mergeCell ref="Q2:R2"/>
  </mergeCells>
  <conditionalFormatting sqref="A41">
    <cfRule type="cellIs" dxfId="0" priority="1" operator="equal">
      <formula>"""Gedifferentieerde premie ZW-Flex ERD"""</formula>
    </cfRule>
  </conditionalFormatting>
  <pageMargins left="0.43307086614173229" right="0.39370078740157483" top="0.39370078740157483" bottom="0.35433070866141736" header="0.31496062992125984" footer="0.15748031496062992"/>
  <pageSetup paperSize="9" scale="75" orientation="portrait" r:id="rId1"/>
  <headerFooter>
    <oddFooter>&amp;C&amp;8&amp;D&amp;R&amp;8&amp;P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2298D4CD85C940894EB003D5C3FA23" ma:contentTypeVersion="18" ma:contentTypeDescription="Een nieuw document maken." ma:contentTypeScope="" ma:versionID="26815127b001c3212756062a2725772a">
  <xsd:schema xmlns:xsd="http://www.w3.org/2001/XMLSchema" xmlns:xs="http://www.w3.org/2001/XMLSchema" xmlns:p="http://schemas.microsoft.com/office/2006/metadata/properties" xmlns:ns2="58ec6e81-2618-4a6b-b911-828a003ad377" xmlns:ns3="cfa0343d-02d4-4ed1-8734-4cf54f85b504" targetNamespace="http://schemas.microsoft.com/office/2006/metadata/properties" ma:root="true" ma:fieldsID="8ce1a0d6498e405197f4a3494b3f3d76" ns2:_="" ns3:_="">
    <xsd:import namespace="58ec6e81-2618-4a6b-b911-828a003ad377"/>
    <xsd:import namespace="cfa0343d-02d4-4ed1-8734-4cf54f85b5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ec6e81-2618-4a6b-b911-828a003ad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3d76ca14-9f72-40aa-85c3-bbabf7881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a0343d-02d4-4ed1-8734-4cf54f85b50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e9c54bd-a518-404e-a046-b7dac9379bba}" ma:internalName="TaxCatchAll" ma:showField="CatchAllData" ma:web="cfa0343d-02d4-4ed1-8734-4cf54f85b5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ec6e81-2618-4a6b-b911-828a003ad377">
      <Terms xmlns="http://schemas.microsoft.com/office/infopath/2007/PartnerControls"/>
    </lcf76f155ced4ddcb4097134ff3c332f>
    <TaxCatchAll xmlns="cfa0343d-02d4-4ed1-8734-4cf54f85b50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5F33AF-BA5E-4D89-B905-443280359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ec6e81-2618-4a6b-b911-828a003ad377"/>
    <ds:schemaRef ds:uri="cfa0343d-02d4-4ed1-8734-4cf54f85b5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ECE5F2-D794-4C2E-8A8B-D2C6823BEC24}">
  <ds:schemaRefs>
    <ds:schemaRef ds:uri="http://schemas.microsoft.com/office/2006/metadata/properties"/>
    <ds:schemaRef ds:uri="58ec6e81-2618-4a6b-b911-828a003ad377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fa0343d-02d4-4ed1-8734-4cf54f85b504"/>
  </ds:schemaRefs>
</ds:datastoreItem>
</file>

<file path=customXml/itemProps3.xml><?xml version="1.0" encoding="utf-8"?>
<ds:datastoreItem xmlns:ds="http://schemas.openxmlformats.org/officeDocument/2006/customXml" ds:itemID="{0DDDB6C4-8D21-40C5-9B20-231C235C8E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stamgegevens</vt:lpstr>
      <vt:lpstr>kostprijzen</vt:lpstr>
      <vt:lpstr>kostprijzen!Afdruktitels</vt:lpstr>
      <vt:lpstr>stamgegevens!Afdruktitels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de Nijs</dc:creator>
  <cp:lastModifiedBy>Michiel Ris</cp:lastModifiedBy>
  <cp:lastPrinted>2025-08-06T14:24:42Z</cp:lastPrinted>
  <dcterms:created xsi:type="dcterms:W3CDTF">2022-11-24T10:34:39Z</dcterms:created>
  <dcterms:modified xsi:type="dcterms:W3CDTF">2025-11-04T14:36:40Z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0x010100EE2298D4CD85C940894EB003D5C3FA23</vt:lpwstr>
  </property>
  <property fmtid="{D5CDD505-2E9C-101B-9397-08002B2CF9AE}" pid="3" name="MediaServiceImageTags">
    <vt:lpwstr/>
  </property>
</Properties>
</file>